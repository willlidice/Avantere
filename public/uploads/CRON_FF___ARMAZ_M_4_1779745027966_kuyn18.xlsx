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ncrejatobr.sharepoint.com/sites/TRANSFER/INSTITUTO PEDRA/03 - PLANEJAMENTO/04- Cronograma físico/"/>
    </mc:Choice>
  </mc:AlternateContent>
  <xr:revisionPtr revIDLastSave="260" documentId="8_{1DA13FA0-BB61-4590-BE20-7E844BF8DC7D}" xr6:coauthVersionLast="47" xr6:coauthVersionMax="47" xr10:uidLastSave="{575320A0-9D8F-4225-BDF7-5CA7EDE81293}"/>
  <bookViews>
    <workbookView xWindow="-108" yWindow="-108" windowWidth="23256" windowHeight="12576" xr2:uid="{2316E903-B5F9-4211-84BD-50A56990DB45}"/>
  </bookViews>
  <sheets>
    <sheet name="CRON FF" sheetId="1" r:id="rId1"/>
  </sheets>
  <externalReferences>
    <externalReference r:id="rId2"/>
    <externalReference r:id="rId3"/>
    <externalReference r:id="rId4"/>
    <externalReference r:id="rId5"/>
    <externalReference r:id="rId6"/>
  </externalReferences>
  <definedNames>
    <definedName name="__xlnm.Print_Area_2">#REF!</definedName>
    <definedName name="__xlnm.Print_Area_3">#REF!</definedName>
    <definedName name="__xlnm.Print_Titles_2">#REF!</definedName>
    <definedName name="__xlnm.Print_Titles_3">#REF!</definedName>
    <definedName name="_xlnm._FilterDatabase" localSheetId="0" hidden="1">'CRON FF'!$D$3:$T$43</definedName>
    <definedName name="_RET1">[1]Regula!$J$36</definedName>
    <definedName name="_tt1">"$#REF!.$A$1:$B$3278"</definedName>
    <definedName name="area_base">[1]Base!$U$40</definedName>
    <definedName name="_xlnm.Print_Area" localSheetId="0">'CRON FF'!$A$1:$T$44</definedName>
    <definedName name="AUDITORIO">#REF!</definedName>
    <definedName name="BuiltIn_Print_Area">#REF!</definedName>
    <definedName name="BuiltIn_Print_Area___0">#REF!</definedName>
    <definedName name="cfs">#REF!</definedName>
    <definedName name="crono">#REF!</definedName>
    <definedName name="DXBDFG">"$#REF!.$A$1:$B$2408"</definedName>
    <definedName name="Excel_BuiltIn__FilterDatabase">"$#REF!.$B$8:$M$9"</definedName>
    <definedName name="Excel_BuiltIn__FilterDatabase_1">"$#REF!.$A$1:$F$5248"</definedName>
    <definedName name="Excel_BuiltIn__FilterDatabase_4">NA()</definedName>
    <definedName name="Excel_BuiltIn__FilterDatabase_4_1">"$#REF!.$#REF!$#REF!:$#REF!$#REF!"</definedName>
    <definedName name="Excel_BuiltIn__FilterDatabase_5">NA()</definedName>
    <definedName name="Excel_BuiltIn__FilterDatabase_6_1">NA()</definedName>
    <definedName name="Excel_BuiltIn__FilterDatabase_6_2">"#REF!"</definedName>
    <definedName name="Excel_BuiltIn__FilterDatabase_6_3">"#REF!"</definedName>
    <definedName name="Excel_BuiltIn_Print_Area">"$#REF!.$B$1:$N$9"</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2">"#REF!"</definedName>
    <definedName name="Excel_BuiltIn_Print_Area_7_1_1_1_1_1_3">"#REF!"</definedName>
    <definedName name="Excel_BuiltIn_Print_Area_7_1_1_1_1_2">"#REF!"</definedName>
    <definedName name="Excel_BuiltIn_Print_Area_7_1_1_1_1_3">"#REF!"</definedName>
    <definedName name="Excel_BuiltIn_Print_Area_7_1_1_1_2">"#REF!"</definedName>
    <definedName name="Excel_BuiltIn_Print_Area_7_1_1_1_3">"#REF!"</definedName>
    <definedName name="Excel_BuiltIn_Print_Area_7_1_1_2">"#REF!"</definedName>
    <definedName name="Excel_BuiltIn_Print_Area_7_1_1_3">"#REF!"</definedName>
    <definedName name="Excel_BuiltIn_Print_Area_7_1_2">"#REF!"</definedName>
    <definedName name="Excel_BuiltIn_Print_Area_7_1_3">"#REF!"</definedName>
    <definedName name="Excel_BuiltIn_Print_Area_7_2">"#REF!"</definedName>
    <definedName name="Excel_BuiltIn_Print_Area_7_3">"#REF!"</definedName>
    <definedName name="Excel_BuiltIn_Print_Titles">"$#REF!.$A$1:$AMJ$9"</definedName>
    <definedName name="inf">'[2]Orçamento Global'!$D$38</definedName>
    <definedName name="item1">[3]Plan1!$J$13</definedName>
    <definedName name="item3">[3]Plan1!$J$30</definedName>
    <definedName name="item4">[3]Plan1!$J$39</definedName>
    <definedName name="k">"$#REF!.$A$1:$B$2408"</definedName>
    <definedName name="mo_base">[1]Base!$U$39</definedName>
    <definedName name="mo_sub_base">'[1]Sub-base'!$U$36</definedName>
    <definedName name="Plan1">"$#REF!.$A$1:$B$2408"</definedName>
    <definedName name="REGULA">[1]Regula!$M$36</definedName>
    <definedName name="rere">#REF!</definedName>
    <definedName name="rt">#REF!</definedName>
    <definedName name="tabela">#REF!</definedName>
    <definedName name="teste">"$#REF!.$A$1:$B$3278"</definedName>
    <definedName name="Z_E9EF4FFF_2A51_4B23_8A33_7F2B85269ACF_.wvu.PrintArea_7">"#REF!"</definedName>
    <definedName name="Z_E9EF4FFF_2A51_4B23_8A33_7F2B85269ACF_.wvu.PrintArea_7_2">"#REF!"</definedName>
    <definedName name="Z_E9EF4FFF_2A51_4B23_8A33_7F2B85269ACF_.wvu.PrintArea_7_3">"#REF!"</definedName>
    <definedName name="Z_E9EF4FFF_2A51_4B23_8A33_7F2B85269ACF_.wvu.Rows_2">("#REF!,#REF!,#REF!,#REF!,#REF!,#REF!,#REF!,#REF!,#REF!,#REF!,#REF!,#REF!,#REF!)")</definedName>
    <definedName name="Z_E9EF4FFF_2A51_4B23_8A33_7F2B85269ACF_.wvu.Rows_2_2">("#REF!,#REF!,#REF!,#REF!,#REF!,#REF!,#REF!,#REF!,#REF!,#REF!,#REF!,#REF!,#REF!)")</definedName>
    <definedName name="Z_E9EF4FFF_2A51_4B23_8A33_7F2B85269ACF_.wvu.Rows_2_3">("#REF!,#REF!,#REF!,#REF!,#REF!,#REF!,#REF!,#REF!,#REF!,#REF!,#REF!,#REF!,#REF!)")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1" l="1"/>
  <c r="E37" i="1" l="1"/>
  <c r="F37" i="1"/>
  <c r="G37" i="1"/>
  <c r="G36" i="1" s="1"/>
  <c r="H37" i="1"/>
  <c r="I37" i="1"/>
  <c r="J37" i="1"/>
  <c r="K37" i="1"/>
  <c r="L37" i="1"/>
  <c r="M37" i="1"/>
  <c r="N37" i="1"/>
  <c r="O37" i="1"/>
  <c r="P37" i="1"/>
  <c r="Q37" i="1"/>
  <c r="R37" i="1"/>
  <c r="S37" i="1"/>
  <c r="D37" i="1"/>
  <c r="I35" i="1"/>
  <c r="J35" i="1"/>
  <c r="K35" i="1"/>
  <c r="L35" i="1"/>
  <c r="M35" i="1"/>
  <c r="N35" i="1"/>
  <c r="O35" i="1"/>
  <c r="P35" i="1"/>
  <c r="Q35" i="1"/>
  <c r="R35" i="1"/>
  <c r="S35" i="1"/>
  <c r="G35" i="1"/>
  <c r="G34" i="1" s="1"/>
  <c r="H35" i="1"/>
  <c r="F35" i="1"/>
  <c r="F34" i="1" s="1"/>
  <c r="E35" i="1"/>
  <c r="D35" i="1"/>
  <c r="E33" i="1"/>
  <c r="F33" i="1"/>
  <c r="G33" i="1"/>
  <c r="H33" i="1"/>
  <c r="I33" i="1"/>
  <c r="J33" i="1"/>
  <c r="K33" i="1"/>
  <c r="L33" i="1"/>
  <c r="M33" i="1"/>
  <c r="N33" i="1"/>
  <c r="O33" i="1"/>
  <c r="P33" i="1"/>
  <c r="Q33" i="1"/>
  <c r="R33" i="1"/>
  <c r="R32" i="1" s="1"/>
  <c r="S33" i="1"/>
  <c r="D33" i="1"/>
  <c r="E31" i="1"/>
  <c r="F31" i="1"/>
  <c r="G31" i="1"/>
  <c r="H31" i="1"/>
  <c r="I31" i="1"/>
  <c r="J31" i="1"/>
  <c r="K31" i="1"/>
  <c r="L31" i="1"/>
  <c r="M31" i="1"/>
  <c r="N31" i="1"/>
  <c r="O31" i="1"/>
  <c r="P31" i="1"/>
  <c r="Q31" i="1"/>
  <c r="R31" i="1"/>
  <c r="R30" i="1" s="1"/>
  <c r="S31" i="1"/>
  <c r="D31" i="1"/>
  <c r="T31" i="1" s="1"/>
  <c r="E29" i="1"/>
  <c r="F29" i="1"/>
  <c r="G29" i="1"/>
  <c r="H29" i="1"/>
  <c r="I29" i="1"/>
  <c r="J29" i="1"/>
  <c r="K29" i="1"/>
  <c r="L29" i="1"/>
  <c r="M29" i="1"/>
  <c r="N29" i="1"/>
  <c r="O29" i="1"/>
  <c r="P29" i="1"/>
  <c r="Q29" i="1"/>
  <c r="R29" i="1"/>
  <c r="S29" i="1"/>
  <c r="D29" i="1"/>
  <c r="E27" i="1"/>
  <c r="F27" i="1"/>
  <c r="G27" i="1"/>
  <c r="H27" i="1"/>
  <c r="I27" i="1"/>
  <c r="J27" i="1"/>
  <c r="K27" i="1"/>
  <c r="L27" i="1"/>
  <c r="M27" i="1"/>
  <c r="N27" i="1"/>
  <c r="O27" i="1"/>
  <c r="P27" i="1"/>
  <c r="Q27" i="1"/>
  <c r="R27" i="1"/>
  <c r="R26" i="1" s="1"/>
  <c r="S27" i="1"/>
  <c r="S26" i="1" s="1"/>
  <c r="D27" i="1"/>
  <c r="E25" i="1"/>
  <c r="F25" i="1"/>
  <c r="G25" i="1"/>
  <c r="H25" i="1"/>
  <c r="I25" i="1"/>
  <c r="J25" i="1"/>
  <c r="K25" i="1"/>
  <c r="L25" i="1"/>
  <c r="M25" i="1"/>
  <c r="N25" i="1"/>
  <c r="O25" i="1"/>
  <c r="P25" i="1"/>
  <c r="Q25" i="1"/>
  <c r="R25" i="1"/>
  <c r="R24" i="1" s="1"/>
  <c r="S25" i="1"/>
  <c r="D25" i="1"/>
  <c r="E23" i="1"/>
  <c r="F23" i="1"/>
  <c r="G23" i="1"/>
  <c r="H23" i="1"/>
  <c r="I23" i="1"/>
  <c r="J23" i="1"/>
  <c r="K23" i="1"/>
  <c r="L23" i="1"/>
  <c r="M23" i="1"/>
  <c r="N23" i="1"/>
  <c r="O23" i="1"/>
  <c r="P23" i="1"/>
  <c r="Q23" i="1"/>
  <c r="R23" i="1"/>
  <c r="R22" i="1" s="1"/>
  <c r="S23" i="1"/>
  <c r="D23" i="1"/>
  <c r="E21" i="1"/>
  <c r="F21" i="1"/>
  <c r="G21" i="1"/>
  <c r="H21" i="1"/>
  <c r="I21" i="1"/>
  <c r="J21" i="1"/>
  <c r="K21" i="1"/>
  <c r="L21" i="1"/>
  <c r="M21" i="1"/>
  <c r="N21" i="1"/>
  <c r="O21" i="1"/>
  <c r="P21" i="1"/>
  <c r="Q21" i="1"/>
  <c r="R21" i="1"/>
  <c r="R20" i="1" s="1"/>
  <c r="S21" i="1"/>
  <c r="S20" i="1" s="1"/>
  <c r="D21" i="1"/>
  <c r="E19" i="1"/>
  <c r="F19" i="1"/>
  <c r="G19" i="1"/>
  <c r="H19" i="1"/>
  <c r="I19" i="1"/>
  <c r="J19" i="1"/>
  <c r="K19" i="1"/>
  <c r="L19" i="1"/>
  <c r="M19" i="1"/>
  <c r="N19" i="1"/>
  <c r="O19" i="1"/>
  <c r="P19" i="1"/>
  <c r="Q19" i="1"/>
  <c r="R19" i="1"/>
  <c r="R18" i="1" s="1"/>
  <c r="S19" i="1"/>
  <c r="S18" i="1" s="1"/>
  <c r="D19" i="1"/>
  <c r="E17" i="1"/>
  <c r="F17" i="1"/>
  <c r="F16" i="1" s="1"/>
  <c r="G17" i="1"/>
  <c r="H17" i="1"/>
  <c r="I17" i="1"/>
  <c r="J17" i="1"/>
  <c r="K17" i="1"/>
  <c r="L17" i="1"/>
  <c r="M17" i="1"/>
  <c r="N17" i="1"/>
  <c r="O17" i="1"/>
  <c r="P17" i="1"/>
  <c r="Q17" i="1"/>
  <c r="R17" i="1"/>
  <c r="S17" i="1"/>
  <c r="D17" i="1"/>
  <c r="E15" i="1"/>
  <c r="F15" i="1"/>
  <c r="F14" i="1" s="1"/>
  <c r="G15" i="1"/>
  <c r="G14" i="1" s="1"/>
  <c r="H15" i="1"/>
  <c r="I15" i="1"/>
  <c r="I14" i="1" s="1"/>
  <c r="J15" i="1"/>
  <c r="J14" i="1" s="1"/>
  <c r="K15" i="1"/>
  <c r="K14" i="1" s="1"/>
  <c r="L15" i="1"/>
  <c r="L14" i="1" s="1"/>
  <c r="M15" i="1"/>
  <c r="M14" i="1" s="1"/>
  <c r="N15" i="1"/>
  <c r="N14" i="1" s="1"/>
  <c r="O15" i="1"/>
  <c r="O14" i="1" s="1"/>
  <c r="P15" i="1"/>
  <c r="Q15" i="1"/>
  <c r="R15" i="1"/>
  <c r="S15" i="1"/>
  <c r="D15" i="1"/>
  <c r="H13" i="1"/>
  <c r="I13" i="1"/>
  <c r="I12" i="1" s="1"/>
  <c r="J13" i="1"/>
  <c r="K13" i="1"/>
  <c r="L13" i="1"/>
  <c r="M13" i="1"/>
  <c r="M12" i="1" s="1"/>
  <c r="N13" i="1"/>
  <c r="N12" i="1" s="1"/>
  <c r="O13" i="1"/>
  <c r="O12" i="1" s="1"/>
  <c r="P13" i="1"/>
  <c r="Q13" i="1"/>
  <c r="Q12" i="1" s="1"/>
  <c r="R13" i="1"/>
  <c r="R12" i="1" s="1"/>
  <c r="S13" i="1"/>
  <c r="E13" i="1"/>
  <c r="F13" i="1"/>
  <c r="F12" i="1" s="1"/>
  <c r="G13" i="1"/>
  <c r="G12" i="1" s="1"/>
  <c r="D13" i="1"/>
  <c r="S36" i="1"/>
  <c r="R36" i="1"/>
  <c r="Q36" i="1"/>
  <c r="F36" i="1"/>
  <c r="S34" i="1"/>
  <c r="E34" i="1"/>
  <c r="S12" i="1"/>
  <c r="P12" i="1"/>
  <c r="L12" i="1"/>
  <c r="K12" i="1"/>
  <c r="J12" i="1"/>
  <c r="H12" i="1"/>
  <c r="E12" i="1"/>
  <c r="R8" i="1"/>
  <c r="J8" i="1"/>
  <c r="S6" i="1"/>
  <c r="R6" i="1"/>
  <c r="Q6" i="1"/>
  <c r="P6" i="1"/>
  <c r="O6" i="1"/>
  <c r="N6" i="1"/>
  <c r="M6" i="1"/>
  <c r="L6" i="1"/>
  <c r="K6" i="1"/>
  <c r="J6" i="1"/>
  <c r="I6" i="1"/>
  <c r="H6" i="1"/>
  <c r="G6" i="1"/>
  <c r="E6" i="1"/>
  <c r="S32" i="1"/>
  <c r="S30" i="1"/>
  <c r="S28" i="1"/>
  <c r="R28" i="1"/>
  <c r="S24" i="1"/>
  <c r="S22" i="1"/>
  <c r="S16" i="1"/>
  <c r="S14" i="1"/>
  <c r="R14" i="1"/>
  <c r="Q14" i="1"/>
  <c r="P14" i="1"/>
  <c r="H14" i="1"/>
  <c r="E14" i="1"/>
  <c r="D22" i="1"/>
  <c r="D6" i="1"/>
  <c r="L10" i="1"/>
  <c r="M10" i="1"/>
  <c r="P10" i="1"/>
  <c r="I10" i="1"/>
  <c r="E10" i="1"/>
  <c r="H10" i="1"/>
  <c r="E11" i="1"/>
  <c r="F11" i="1"/>
  <c r="F10" i="1" s="1"/>
  <c r="G11" i="1"/>
  <c r="G10" i="1" s="1"/>
  <c r="H11" i="1"/>
  <c r="I11" i="1"/>
  <c r="J11" i="1"/>
  <c r="J10" i="1" s="1"/>
  <c r="K11" i="1"/>
  <c r="K10" i="1" s="1"/>
  <c r="L11" i="1"/>
  <c r="M11" i="1"/>
  <c r="N11" i="1"/>
  <c r="N10" i="1" s="1"/>
  <c r="O11" i="1"/>
  <c r="O10" i="1" s="1"/>
  <c r="P11" i="1"/>
  <c r="Q11" i="1"/>
  <c r="Q10" i="1" s="1"/>
  <c r="R11" i="1"/>
  <c r="R10" i="1" s="1"/>
  <c r="S11" i="1"/>
  <c r="S10" i="1" s="1"/>
  <c r="D11" i="1"/>
  <c r="I9" i="1"/>
  <c r="I8" i="1" s="1"/>
  <c r="J9" i="1"/>
  <c r="K9" i="1"/>
  <c r="K8" i="1" s="1"/>
  <c r="L9" i="1"/>
  <c r="L8" i="1" s="1"/>
  <c r="M9" i="1"/>
  <c r="M8" i="1" s="1"/>
  <c r="N9" i="1"/>
  <c r="N8" i="1" s="1"/>
  <c r="O9" i="1"/>
  <c r="O8" i="1" s="1"/>
  <c r="P9" i="1"/>
  <c r="P8" i="1" s="1"/>
  <c r="Q9" i="1"/>
  <c r="Q8" i="1" s="1"/>
  <c r="R9" i="1"/>
  <c r="S9" i="1"/>
  <c r="S8" i="1" s="1"/>
  <c r="H9" i="1"/>
  <c r="H8" i="1" s="1"/>
  <c r="C41" i="1"/>
  <c r="T39" i="1"/>
  <c r="E36" i="1"/>
  <c r="F7" i="1"/>
  <c r="N41" i="1" l="1"/>
  <c r="N40" i="1" s="1"/>
  <c r="P41" i="1"/>
  <c r="P40" i="1" s="1"/>
  <c r="O41" i="1"/>
  <c r="O40" i="1" s="1"/>
  <c r="D12" i="1"/>
  <c r="T13" i="1"/>
  <c r="T15" i="1"/>
  <c r="D16" i="1"/>
  <c r="T17" i="1"/>
  <c r="D18" i="1"/>
  <c r="T19" i="1"/>
  <c r="D20" i="1"/>
  <c r="T21" i="1"/>
  <c r="T23" i="1"/>
  <c r="D24" i="1"/>
  <c r="T25" i="1"/>
  <c r="D26" i="1"/>
  <c r="T27" i="1"/>
  <c r="T26" i="1" s="1"/>
  <c r="M41" i="1"/>
  <c r="H41" i="1"/>
  <c r="T10" i="1"/>
  <c r="T11" i="1"/>
  <c r="D10" i="1"/>
  <c r="D28" i="1"/>
  <c r="T29" i="1"/>
  <c r="L41" i="1"/>
  <c r="D30" i="1"/>
  <c r="D36" i="1"/>
  <c r="T37" i="1"/>
  <c r="T36" i="1" s="1"/>
  <c r="R41" i="1"/>
  <c r="R40" i="1" s="1"/>
  <c r="J41" i="1"/>
  <c r="S41" i="1"/>
  <c r="S40" i="1" s="1"/>
  <c r="K41" i="1"/>
  <c r="D32" i="1"/>
  <c r="T33" i="1"/>
  <c r="D34" i="1"/>
  <c r="T35" i="1"/>
  <c r="Q41" i="1"/>
  <c r="Q40" i="1" s="1"/>
  <c r="I41" i="1"/>
  <c r="F6" i="1"/>
  <c r="T12" i="1"/>
  <c r="T6" i="1"/>
  <c r="T34" i="1"/>
  <c r="I40" i="1" l="1"/>
  <c r="H40" i="1"/>
  <c r="J40" i="1"/>
  <c r="M40" i="1"/>
  <c r="L40" i="1"/>
  <c r="K40" i="1"/>
  <c r="G9" i="1"/>
  <c r="G8" i="1" l="1"/>
  <c r="G41" i="1"/>
  <c r="F9" i="1"/>
  <c r="G40" i="1" l="1"/>
  <c r="F8" i="1"/>
  <c r="F41" i="1"/>
  <c r="E9" i="1"/>
  <c r="E8" i="1" s="1"/>
  <c r="F40" i="1" l="1"/>
  <c r="D9" i="1"/>
  <c r="T9" i="1" s="1"/>
  <c r="D8" i="1" l="1"/>
  <c r="T8" i="1"/>
  <c r="D14" i="1" l="1"/>
  <c r="T14" i="1" l="1"/>
  <c r="D41" i="1" l="1"/>
  <c r="D40" i="1" s="1"/>
  <c r="D42" i="1" l="1"/>
  <c r="D43" i="1"/>
  <c r="J16" i="1"/>
  <c r="I16" i="1"/>
  <c r="H16" i="1"/>
  <c r="P16" i="1"/>
  <c r="Q16" i="1"/>
  <c r="G16" i="1"/>
  <c r="M16" i="1"/>
  <c r="L16" i="1"/>
  <c r="T16" i="1"/>
  <c r="K16" i="1"/>
  <c r="E16" i="1"/>
  <c r="N16" i="1"/>
  <c r="O16" i="1"/>
  <c r="R16" i="1"/>
  <c r="P18" i="1" l="1"/>
  <c r="G18" i="1"/>
  <c r="Q18" i="1"/>
  <c r="L18" i="1"/>
  <c r="M18" i="1"/>
  <c r="J18" i="1"/>
  <c r="N18" i="1"/>
  <c r="T18" i="1"/>
  <c r="H18" i="1"/>
  <c r="I18" i="1"/>
  <c r="O18" i="1"/>
  <c r="K18" i="1"/>
  <c r="F18" i="1"/>
  <c r="E18" i="1"/>
  <c r="L20" i="1"/>
  <c r="Q20" i="1"/>
  <c r="O20" i="1"/>
  <c r="K20" i="1"/>
  <c r="P20" i="1"/>
  <c r="J20" i="1"/>
  <c r="N20" i="1"/>
  <c r="H20" i="1"/>
  <c r="F20" i="1"/>
  <c r="I20" i="1"/>
  <c r="G20" i="1"/>
  <c r="M20" i="1"/>
  <c r="E20" i="1"/>
  <c r="T20" i="1"/>
  <c r="T22" i="1"/>
  <c r="N22" i="1"/>
  <c r="O22" i="1"/>
  <c r="K22" i="1"/>
  <c r="M22" i="1"/>
  <c r="H22" i="1"/>
  <c r="G22" i="1"/>
  <c r="J22" i="1"/>
  <c r="L22" i="1"/>
  <c r="Q22" i="1"/>
  <c r="I22" i="1"/>
  <c r="F22" i="1"/>
  <c r="P22" i="1"/>
  <c r="E22" i="1"/>
  <c r="M24" i="1" l="1"/>
  <c r="F24" i="1"/>
  <c r="P24" i="1"/>
  <c r="T24" i="1"/>
  <c r="J24" i="1"/>
  <c r="I24" i="1"/>
  <c r="N24" i="1"/>
  <c r="O24" i="1"/>
  <c r="L24" i="1"/>
  <c r="Q24" i="1"/>
  <c r="G24" i="1"/>
  <c r="H24" i="1"/>
  <c r="K24" i="1"/>
  <c r="E24" i="1"/>
  <c r="M26" i="1"/>
  <c r="N26" i="1"/>
  <c r="H26" i="1"/>
  <c r="P26" i="1"/>
  <c r="K26" i="1"/>
  <c r="I26" i="1"/>
  <c r="G26" i="1"/>
  <c r="J26" i="1"/>
  <c r="L26" i="1"/>
  <c r="Q26" i="1"/>
  <c r="F26" i="1"/>
  <c r="O26" i="1"/>
  <c r="E26" i="1"/>
  <c r="Q28" i="1" l="1"/>
  <c r="G28" i="1"/>
  <c r="T28" i="1"/>
  <c r="H28" i="1"/>
  <c r="K28" i="1"/>
  <c r="L28" i="1"/>
  <c r="N28" i="1"/>
  <c r="P28" i="1"/>
  <c r="F28" i="1"/>
  <c r="J28" i="1"/>
  <c r="M28" i="1"/>
  <c r="I28" i="1"/>
  <c r="O28" i="1"/>
  <c r="E28" i="1"/>
  <c r="F30" i="1"/>
  <c r="I30" i="1"/>
  <c r="N30" i="1"/>
  <c r="P30" i="1"/>
  <c r="Q30" i="1"/>
  <c r="L30" i="1"/>
  <c r="G30" i="1"/>
  <c r="H30" i="1"/>
  <c r="J30" i="1"/>
  <c r="K30" i="1"/>
  <c r="O30" i="1"/>
  <c r="M30" i="1"/>
  <c r="E30" i="1"/>
  <c r="T30" i="1"/>
  <c r="K32" i="1"/>
  <c r="H32" i="1"/>
  <c r="N32" i="1"/>
  <c r="I32" i="1"/>
  <c r="M32" i="1"/>
  <c r="P32" i="1"/>
  <c r="J32" i="1"/>
  <c r="Q32" i="1"/>
  <c r="E41" i="1"/>
  <c r="E43" i="1" s="1"/>
  <c r="F43" i="1" s="1"/>
  <c r="G43" i="1" s="1"/>
  <c r="H43" i="1" s="1"/>
  <c r="I43" i="1" s="1"/>
  <c r="J43" i="1" s="1"/>
  <c r="K43" i="1" s="1"/>
  <c r="L43" i="1" s="1"/>
  <c r="M43" i="1" s="1"/>
  <c r="N43" i="1" s="1"/>
  <c r="O43" i="1" s="1"/>
  <c r="P43" i="1" s="1"/>
  <c r="Q43" i="1" s="1"/>
  <c r="R43" i="1" s="1"/>
  <c r="S43" i="1" s="1"/>
  <c r="L32" i="1"/>
  <c r="O32" i="1"/>
  <c r="G32" i="1"/>
  <c r="F32" i="1"/>
  <c r="E32" i="1"/>
  <c r="T32" i="1"/>
  <c r="T41" i="1"/>
  <c r="T40" i="1" l="1"/>
  <c r="T43" i="1"/>
  <c r="E40" i="1"/>
  <c r="T42" i="1" l="1"/>
  <c r="E42" i="1"/>
  <c r="F42" i="1" s="1"/>
  <c r="G42" i="1" s="1"/>
  <c r="H42" i="1" s="1"/>
  <c r="I42" i="1" s="1"/>
  <c r="J42" i="1" s="1"/>
  <c r="K42" i="1" s="1"/>
  <c r="L42" i="1" s="1"/>
  <c r="M42" i="1" s="1"/>
  <c r="N42" i="1" s="1"/>
  <c r="O42" i="1" s="1"/>
  <c r="P42" i="1" s="1"/>
  <c r="Q42" i="1" s="1"/>
  <c r="R42" i="1" s="1"/>
  <c r="S42" i="1" s="1"/>
  <c r="H34" i="1"/>
  <c r="P34" i="1"/>
  <c r="J34" i="1"/>
  <c r="L34" i="1"/>
  <c r="O34" i="1"/>
  <c r="R34" i="1"/>
  <c r="M34" i="1"/>
  <c r="N34" i="1"/>
  <c r="Q34" i="1"/>
  <c r="K34" i="1"/>
  <c r="I34" i="1"/>
  <c r="K36" i="1"/>
  <c r="N36" i="1"/>
  <c r="M36" i="1"/>
  <c r="J36" i="1"/>
  <c r="L36" i="1"/>
  <c r="H36" i="1"/>
  <c r="P36" i="1"/>
  <c r="I36" i="1"/>
  <c r="O36" i="1"/>
</calcChain>
</file>

<file path=xl/sharedStrings.xml><?xml version="1.0" encoding="utf-8"?>
<sst xmlns="http://schemas.openxmlformats.org/spreadsheetml/2006/main" count="73" uniqueCount="71">
  <si>
    <t>OBRAS DE RESTAURAÇÃO E IMPLANTAÇÃO DE EQUIPAMENTO CULTURAL NO ARMAZEM 04 DO PORTO DE VITÓRIA - ES</t>
  </si>
  <si>
    <t xml:space="preserve">Padrão - 29,79%
Equipamento - 15,28%
</t>
  </si>
  <si>
    <t>Desonerado: 
Horista: 88,81%
Mensalista: 50,31%</t>
  </si>
  <si>
    <t>Cronograma Físico e Financeiro</t>
  </si>
  <si>
    <t>01</t>
  </si>
  <si>
    <t>02</t>
  </si>
  <si>
    <t>03</t>
  </si>
  <si>
    <t>04</t>
  </si>
  <si>
    <t>05</t>
  </si>
  <si>
    <t>06</t>
  </si>
  <si>
    <t>07</t>
  </si>
  <si>
    <t>08</t>
  </si>
  <si>
    <t>09</t>
  </si>
  <si>
    <t>10</t>
  </si>
  <si>
    <t>11</t>
  </si>
  <si>
    <t>12</t>
  </si>
  <si>
    <t>13</t>
  </si>
  <si>
    <t>14</t>
  </si>
  <si>
    <t>15</t>
  </si>
  <si>
    <t>Saldo</t>
  </si>
  <si>
    <t>09/09 a 30/09</t>
  </si>
  <si>
    <t>01/10 a 31/10</t>
  </si>
  <si>
    <t>01/11 a 30/11</t>
  </si>
  <si>
    <t>01/12 a 31/12</t>
  </si>
  <si>
    <t>01/01 a 31/01</t>
  </si>
  <si>
    <t>01/02 a 28/02</t>
  </si>
  <si>
    <t>01/03 a 31/03</t>
  </si>
  <si>
    <t>01/04 a 30/04</t>
  </si>
  <si>
    <t>01/05 a 31/05</t>
  </si>
  <si>
    <t>01/06 a 30/06</t>
  </si>
  <si>
    <t>01/07 a 31/07</t>
  </si>
  <si>
    <t>01/08 a 31/08</t>
  </si>
  <si>
    <t>01/09 a 30/09</t>
  </si>
  <si>
    <t>Item</t>
  </si>
  <si>
    <t>Descrição</t>
  </si>
  <si>
    <t>Total Por Etapa</t>
  </si>
  <si>
    <t>MESES</t>
  </si>
  <si>
    <t xml:space="preserve"> 1 </t>
  </si>
  <si>
    <t>ADMINISTRAÇÃO LOCAL DA OBRA</t>
  </si>
  <si>
    <t xml:space="preserve"> 2 </t>
  </si>
  <si>
    <t>INSTALAÇÕES PROVISÓRIAS E SERVIÇOS PRELIMINARES</t>
  </si>
  <si>
    <t xml:space="preserve"> 3 </t>
  </si>
  <si>
    <t>SERVIÇOS DE RESTAURO</t>
  </si>
  <si>
    <t xml:space="preserve"> 4 </t>
  </si>
  <si>
    <t xml:space="preserve">DEMOLIÇÕES E RETIRADAS </t>
  </si>
  <si>
    <t xml:space="preserve"> 5 </t>
  </si>
  <si>
    <t>A CONSTRUIR</t>
  </si>
  <si>
    <t xml:space="preserve"> 6 </t>
  </si>
  <si>
    <t>ESTRUTURAS:  METÁLICA -LAJE DE CONCRETO E MADEIRA</t>
  </si>
  <si>
    <t xml:space="preserve"> 7 </t>
  </si>
  <si>
    <t>SISTEMA DE ACÚSTICA</t>
  </si>
  <si>
    <t xml:space="preserve"> 8 </t>
  </si>
  <si>
    <t>ESQUADRIAS DE ALUMÍNIO, FERRO E MADEIRA</t>
  </si>
  <si>
    <t xml:space="preserve"> 9 </t>
  </si>
  <si>
    <t>VIDROS</t>
  </si>
  <si>
    <t xml:space="preserve"> 10 </t>
  </si>
  <si>
    <t>INSTALAÇÕES MECÂNICAS</t>
  </si>
  <si>
    <t xml:space="preserve"> 11 </t>
  </si>
  <si>
    <t>INSTALAÇÕES ELÉTRICAS</t>
  </si>
  <si>
    <t xml:space="preserve"> 12 </t>
  </si>
  <si>
    <t>INSTALAÇÕES HIDROSANITÁRIAS</t>
  </si>
  <si>
    <t>INSTALAÇÃO DE PREVENÇÃO CONTRA INCÊNDIO</t>
  </si>
  <si>
    <t>PINTURAS</t>
  </si>
  <si>
    <t>SERVIÇOS FINAIS</t>
  </si>
  <si>
    <t>OMISSOS</t>
  </si>
  <si>
    <t>Porcentagem</t>
  </si>
  <si>
    <t>Custo (sem BDI)</t>
  </si>
  <si>
    <t>Porcentagem Acumulado</t>
  </si>
  <si>
    <t>Custo Acumulado</t>
  </si>
  <si>
    <t>16</t>
  </si>
  <si>
    <t>01/11 a 31/12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</si>
</sst>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R$&quot;\ #,##0.00;\-&quot;R$&quot;\ #,##0.00"/>
    <numFmt numFmtId="43" formatCode="_-* #,##0.00_-;\-* #,##0.00_-;_-* &quot;-&quot;??_-;_-@_-"/>
    <numFmt numFmtId="164" formatCode="0.0%"/>
  </numFmts>
  <fonts count="10" x14ac:knownFonts="1">
    <font>
      <sz val="11"/>
      <color theme="1"/>
      <name val="Calibri"/>
      <family val="2"/>
      <scheme val="minor"/>
    </font>
    <font>
      <sz val="10"/>
      <name val="Arial"/>
      <family val="2"/>
    </font>
    <font>
      <b/>
      <sz val="10"/>
      <name val="Arial"/>
      <family val="1"/>
    </font>
    <font>
      <b/>
      <sz val="11"/>
      <name val="Arial"/>
      <family val="2"/>
    </font>
    <font>
      <b/>
      <sz val="10"/>
      <name val="Arial"/>
      <family val="2"/>
    </font>
    <font>
      <sz val="10"/>
      <color rgb="FF000000"/>
      <name val="Arial"/>
      <family val="2"/>
    </font>
    <font>
      <sz val="10"/>
      <name val="Arial"/>
      <family val="1"/>
    </font>
    <font>
      <sz val="8"/>
      <name val="Calibri"/>
      <family val="2"/>
      <scheme val="minor"/>
    </font>
    <font>
      <sz val="8"/>
      <name val="Arial"/>
      <family val="2"/>
    </font>
    <font>
      <sz val="9"/>
      <color theme="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thin">
        <color auto="1"/>
      </top>
      <bottom/>
      <diagonal/>
    </border>
    <border>
      <left style="hair">
        <color auto="1"/>
      </left>
      <right style="thin">
        <color auto="1"/>
      </right>
      <top style="thin">
        <color auto="1"/>
      </top>
      <bottom style="hair">
        <color auto="1"/>
      </bottom>
      <diagonal/>
    </border>
    <border>
      <left style="thin">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67">
    <xf numFmtId="0" fontId="0" fillId="0" borderId="0" xfId="0"/>
    <xf numFmtId="0" fontId="1" fillId="0" borderId="0" xfId="1" applyAlignment="1">
      <alignment vertical="center"/>
    </xf>
    <xf numFmtId="0" fontId="4" fillId="0" borderId="5" xfId="1" quotePrefix="1" applyFont="1" applyBorder="1" applyAlignment="1">
      <alignment horizontal="center" vertical="center"/>
    </xf>
    <xf numFmtId="0" fontId="4" fillId="0" borderId="12" xfId="1" quotePrefix="1" applyFont="1" applyBorder="1" applyAlignment="1">
      <alignment horizontal="center" vertical="center"/>
    </xf>
    <xf numFmtId="0" fontId="4" fillId="0" borderId="0" xfId="1" applyFont="1" applyAlignment="1">
      <alignment vertical="center"/>
    </xf>
    <xf numFmtId="0" fontId="3" fillId="0" borderId="9" xfId="1" applyFont="1" applyBorder="1" applyAlignment="1">
      <alignment horizontal="left" vertical="center" wrapText="1"/>
    </xf>
    <xf numFmtId="0" fontId="3" fillId="0" borderId="10" xfId="1" applyFont="1" applyBorder="1" applyAlignment="1">
      <alignment horizontal="left" vertical="center" wrapText="1"/>
    </xf>
    <xf numFmtId="43" fontId="3" fillId="0" borderId="10" xfId="2" applyFont="1" applyFill="1" applyBorder="1" applyAlignment="1">
      <alignment horizontal="right" vertical="center" wrapText="1"/>
    </xf>
    <xf numFmtId="10" fontId="5" fillId="0" borderId="12" xfId="3" applyNumberFormat="1" applyFont="1" applyFill="1" applyBorder="1" applyAlignment="1">
      <alignment horizontal="right" vertical="center" wrapText="1"/>
    </xf>
    <xf numFmtId="10" fontId="1" fillId="0" borderId="0" xfId="1" applyNumberFormat="1" applyAlignment="1">
      <alignment vertical="center"/>
    </xf>
    <xf numFmtId="9" fontId="1" fillId="0" borderId="0" xfId="3" applyFont="1" applyFill="1" applyBorder="1" applyAlignment="1">
      <alignment vertical="center"/>
    </xf>
    <xf numFmtId="43" fontId="5" fillId="0" borderId="10" xfId="2" applyFont="1" applyFill="1" applyBorder="1" applyAlignment="1">
      <alignment horizontal="right" vertical="center" wrapText="1"/>
    </xf>
    <xf numFmtId="43" fontId="5" fillId="0" borderId="16" xfId="2" applyFont="1" applyFill="1" applyBorder="1" applyAlignment="1">
      <alignment horizontal="right" vertical="center" wrapText="1"/>
    </xf>
    <xf numFmtId="43" fontId="1" fillId="0" borderId="0" xfId="1" applyNumberFormat="1" applyAlignment="1">
      <alignment vertical="center"/>
    </xf>
    <xf numFmtId="9" fontId="5" fillId="0" borderId="5" xfId="3" applyFont="1" applyFill="1" applyBorder="1" applyAlignment="1">
      <alignment horizontal="right" vertical="center" wrapText="1"/>
    </xf>
    <xf numFmtId="43" fontId="2" fillId="0" borderId="5" xfId="2" applyFont="1" applyFill="1" applyBorder="1" applyAlignment="1">
      <alignment horizontal="right" vertical="center" wrapText="1"/>
    </xf>
    <xf numFmtId="10" fontId="2" fillId="0" borderId="5" xfId="3" applyNumberFormat="1" applyFont="1" applyFill="1" applyBorder="1" applyAlignment="1">
      <alignment horizontal="right" vertical="center" wrapText="1"/>
    </xf>
    <xf numFmtId="10" fontId="2" fillId="0" borderId="12" xfId="3" applyNumberFormat="1" applyFont="1" applyFill="1" applyBorder="1" applyAlignment="1">
      <alignment horizontal="right" vertical="center" wrapText="1"/>
    </xf>
    <xf numFmtId="43" fontId="2" fillId="0" borderId="10" xfId="2" applyFont="1" applyFill="1" applyBorder="1" applyAlignment="1">
      <alignment horizontal="right" vertical="center" wrapText="1"/>
    </xf>
    <xf numFmtId="43" fontId="2" fillId="0" borderId="10" xfId="1" applyNumberFormat="1" applyFont="1" applyBorder="1" applyAlignment="1">
      <alignment horizontal="right" vertical="center" wrapText="1"/>
    </xf>
    <xf numFmtId="43" fontId="2" fillId="0" borderId="16" xfId="1" applyNumberFormat="1" applyFont="1" applyBorder="1" applyAlignment="1">
      <alignment horizontal="right" vertical="center" wrapText="1"/>
    </xf>
    <xf numFmtId="164" fontId="1" fillId="0" borderId="5" xfId="3" applyNumberFormat="1" applyFont="1" applyFill="1" applyBorder="1" applyAlignment="1">
      <alignment horizontal="right" vertical="center" wrapText="1"/>
    </xf>
    <xf numFmtId="9" fontId="1" fillId="0" borderId="5" xfId="1" applyNumberFormat="1" applyBorder="1" applyAlignment="1">
      <alignment vertical="center"/>
    </xf>
    <xf numFmtId="10" fontId="1" fillId="0" borderId="12" xfId="1" applyNumberFormat="1" applyBorder="1" applyAlignment="1">
      <alignment vertical="center"/>
    </xf>
    <xf numFmtId="43" fontId="3" fillId="0" borderId="10" xfId="1" applyNumberFormat="1" applyFont="1" applyBorder="1" applyAlignment="1">
      <alignment vertical="center"/>
    </xf>
    <xf numFmtId="43" fontId="3" fillId="0" borderId="16" xfId="1" applyNumberFormat="1" applyFont="1" applyBorder="1" applyAlignment="1">
      <alignment vertical="center"/>
    </xf>
    <xf numFmtId="0" fontId="6" fillId="0" borderId="0" xfId="1" applyFont="1" applyAlignment="1">
      <alignment horizontal="center" vertical="center" wrapText="1"/>
    </xf>
    <xf numFmtId="0" fontId="6" fillId="0" borderId="0" xfId="1" applyFont="1" applyAlignment="1">
      <alignment horizontal="left" vertical="center" wrapText="1"/>
    </xf>
    <xf numFmtId="43" fontId="6" fillId="0" borderId="0" xfId="2" applyFont="1" applyFill="1" applyBorder="1" applyAlignment="1">
      <alignment horizontal="right" vertical="center" wrapText="1"/>
    </xf>
    <xf numFmtId="0" fontId="1" fillId="0" borderId="2" xfId="1" applyBorder="1" applyAlignment="1">
      <alignment vertical="center"/>
    </xf>
    <xf numFmtId="0" fontId="2" fillId="0" borderId="0" xfId="1" applyFont="1" applyAlignment="1">
      <alignment horizontal="center" vertical="center" wrapText="1"/>
    </xf>
    <xf numFmtId="0" fontId="2" fillId="0" borderId="0" xfId="1" applyFont="1" applyAlignment="1">
      <alignment horizontal="left" vertical="center" wrapText="1"/>
    </xf>
    <xf numFmtId="7" fontId="2" fillId="0" borderId="0" xfId="2" applyNumberFormat="1" applyFont="1" applyFill="1" applyBorder="1" applyAlignment="1">
      <alignment horizontal="right" vertical="center" wrapText="1"/>
    </xf>
    <xf numFmtId="0" fontId="1" fillId="0" borderId="0" xfId="1" applyAlignment="1">
      <alignment horizontal="left" vertical="center"/>
    </xf>
    <xf numFmtId="43" fontId="0" fillId="0" borderId="0" xfId="2" applyFont="1" applyFill="1" applyBorder="1" applyAlignment="1">
      <alignment horizontal="right" vertical="center"/>
    </xf>
    <xf numFmtId="43" fontId="5" fillId="0" borderId="18" xfId="2" applyFont="1" applyFill="1" applyBorder="1" applyAlignment="1">
      <alignment horizontal="right" vertical="center" wrapText="1"/>
    </xf>
    <xf numFmtId="9" fontId="5" fillId="0" borderId="17" xfId="3" applyFont="1" applyFill="1" applyBorder="1" applyAlignment="1">
      <alignment horizontal="right" vertical="center" wrapText="1"/>
    </xf>
    <xf numFmtId="43" fontId="3" fillId="0" borderId="20" xfId="2" applyFont="1" applyFill="1" applyBorder="1" applyAlignment="1">
      <alignment vertical="center" wrapText="1"/>
    </xf>
    <xf numFmtId="0" fontId="1" fillId="0" borderId="10" xfId="1" applyBorder="1" applyAlignment="1">
      <alignment vertical="center"/>
    </xf>
    <xf numFmtId="0" fontId="9" fillId="0" borderId="5" xfId="1" applyFont="1" applyBorder="1" applyAlignment="1">
      <alignment vertical="center" wrapText="1"/>
    </xf>
    <xf numFmtId="43" fontId="9" fillId="0" borderId="5" xfId="1" applyNumberFormat="1" applyFont="1" applyBorder="1" applyAlignment="1">
      <alignment vertical="center"/>
    </xf>
    <xf numFmtId="0" fontId="2" fillId="0" borderId="9" xfId="1" applyFont="1" applyBorder="1" applyAlignment="1">
      <alignment horizontal="left" vertical="center" wrapText="1"/>
    </xf>
    <xf numFmtId="0" fontId="2" fillId="0" borderId="10" xfId="1" applyFont="1" applyBorder="1" applyAlignment="1">
      <alignment horizontal="left" vertical="center" wrapText="1"/>
    </xf>
    <xf numFmtId="43" fontId="3" fillId="0" borderId="18" xfId="2" applyFont="1" applyFill="1" applyBorder="1" applyAlignment="1">
      <alignment horizontal="center" vertical="center" wrapText="1"/>
    </xf>
    <xf numFmtId="43" fontId="3" fillId="0" borderId="19" xfId="2" applyFont="1" applyFill="1" applyBorder="1" applyAlignment="1">
      <alignment horizontal="center" vertical="center" wrapText="1"/>
    </xf>
    <xf numFmtId="0" fontId="5" fillId="0" borderId="4" xfId="1" applyFont="1" applyBorder="1" applyAlignment="1">
      <alignment horizontal="center" vertical="center" wrapText="1"/>
    </xf>
    <xf numFmtId="0" fontId="5" fillId="0" borderId="9" xfId="1" applyFont="1" applyBorder="1" applyAlignment="1">
      <alignment horizontal="center" vertical="center" wrapText="1"/>
    </xf>
    <xf numFmtId="0" fontId="5" fillId="0" borderId="5" xfId="1" applyFont="1" applyBorder="1" applyAlignment="1">
      <alignment horizontal="left" vertical="center" wrapText="1"/>
    </xf>
    <xf numFmtId="0" fontId="5" fillId="0" borderId="10" xfId="1" applyFont="1" applyBorder="1" applyAlignment="1">
      <alignment horizontal="left" vertical="center" wrapText="1"/>
    </xf>
    <xf numFmtId="43" fontId="5" fillId="0" borderId="5" xfId="2" applyFont="1" applyFill="1" applyBorder="1" applyAlignment="1">
      <alignment horizontal="right" vertical="center" wrapText="1"/>
    </xf>
    <xf numFmtId="43" fontId="5" fillId="0" borderId="10" xfId="2" applyFont="1" applyFill="1" applyBorder="1" applyAlignment="1">
      <alignment horizontal="right" vertical="center" wrapText="1"/>
    </xf>
    <xf numFmtId="0" fontId="2" fillId="0" borderId="4" xfId="1" applyFont="1" applyBorder="1" applyAlignment="1">
      <alignment horizontal="left" vertical="center" wrapText="1"/>
    </xf>
    <xf numFmtId="0" fontId="2" fillId="0" borderId="5" xfId="1" applyFont="1" applyBorder="1" applyAlignment="1">
      <alignment horizontal="left"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6"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8" fillId="0" borderId="9" xfId="1" applyFont="1" applyBorder="1" applyAlignment="1">
      <alignment horizontal="left" vertical="center" wrapText="1"/>
    </xf>
    <xf numFmtId="0" fontId="8" fillId="0" borderId="10" xfId="1" applyFont="1" applyBorder="1" applyAlignment="1">
      <alignment horizontal="left" vertical="center"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14" xfId="1" applyFont="1" applyBorder="1" applyAlignment="1">
      <alignment horizontal="center" vertical="center" wrapText="1"/>
    </xf>
    <xf numFmtId="0" fontId="3" fillId="0" borderId="15" xfId="1" applyFont="1" applyBorder="1" applyAlignment="1">
      <alignment horizontal="center" vertical="center" wrapText="1"/>
    </xf>
  </cellXfs>
  <cellStyles count="4">
    <cellStyle name="Normal" xfId="0" builtinId="0"/>
    <cellStyle name="Normal 2 2 2" xfId="1" xr:uid="{82F9DD57-E1C6-4EF5-B278-C1E9D9C8CFC3}"/>
    <cellStyle name="Porcentagem 2 2 2" xfId="3" xr:uid="{C82120E9-85FB-4CF6-9DC2-5E21502E4A4F}"/>
    <cellStyle name="Vírgula 10" xfId="2" xr:uid="{B3193CC5-C0A1-4256-93BE-558769C23F2F}"/>
  </cellStyles>
  <dxfs count="33">
    <dxf>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font>
        <color theme="0"/>
      </font>
      <numFmt numFmtId="14" formatCode="0.00%"/>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numFmt numFmtId="14" formatCode="0.00%"/>
      <fill>
        <patternFill>
          <bgColor rgb="FF00B0F0"/>
        </patternFill>
      </fill>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
      <font>
        <color theme="0"/>
      </font>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externalLink" Target="externalLinks/externalLink2.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ustomXml" Target="../customXml/item1.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238125</xdr:colOff>
      <xdr:row>0</xdr:row>
      <xdr:rowOff>79375</xdr:rowOff>
    </xdr:from>
    <xdr:to>
      <xdr:col>3</xdr:col>
      <xdr:colOff>1200150</xdr:colOff>
      <xdr:row>0</xdr:row>
      <xdr:rowOff>474597</xdr:rowOff>
    </xdr:to>
    <xdr:pic>
      <xdr:nvPicPr>
        <xdr:cNvPr id="2" name="Imagem 1">
          <a:extLst>
            <a:ext uri="{FF2B5EF4-FFF2-40B4-BE49-F238E27FC236}">
              <a16:creationId xmlns:a16="http://schemas.microsoft.com/office/drawing/2014/main" id="{251FB7D7-8775-4692-8F4D-5C8EEA405822}"/>
            </a:ext>
          </a:extLst>
        </xdr:cNvPr>
        <xdr:cNvPicPr>
          <a:picLocks noChangeAspect="1"/>
        </xdr:cNvPicPr>
      </xdr:nvPicPr>
      <xdr:blipFill>
        <a:blip xmlns:r="http://schemas.openxmlformats.org/officeDocument/2006/relationships" r:embed="rId1"/>
        <a:stretch>
          <a:fillRect/>
        </a:stretch>
      </xdr:blipFill>
      <xdr:spPr>
        <a:xfrm>
          <a:off x="4634865" y="79375"/>
          <a:ext cx="962025" cy="395222"/>
        </a:xfrm>
        <a:prstGeom prst="rect">
          <a:avLst/>
        </a:prstGeom>
      </xdr:spPr>
    </xdr:pic>
    <xdr:clientData/>
  </xdr:twoCellAnchor>
  <xdr:twoCellAnchor editAs="oneCell">
    <xdr:from>
      <xdr:col>4</xdr:col>
      <xdr:colOff>257810</xdr:colOff>
      <xdr:row>0</xdr:row>
      <xdr:rowOff>62865</xdr:rowOff>
    </xdr:from>
    <xdr:to>
      <xdr:col>5</xdr:col>
      <xdr:colOff>786872</xdr:colOff>
      <xdr:row>0</xdr:row>
      <xdr:rowOff>535940</xdr:rowOff>
    </xdr:to>
    <xdr:pic>
      <xdr:nvPicPr>
        <xdr:cNvPr id="3" name="Imagem 2">
          <a:extLst>
            <a:ext uri="{FF2B5EF4-FFF2-40B4-BE49-F238E27FC236}">
              <a16:creationId xmlns:a16="http://schemas.microsoft.com/office/drawing/2014/main" id="{F1691481-F1B0-4EFA-A816-88B3C6543622}"/>
            </a:ext>
          </a:extLst>
        </xdr:cNvPr>
        <xdr:cNvPicPr>
          <a:picLocks noChangeAspect="1"/>
        </xdr:cNvPicPr>
      </xdr:nvPicPr>
      <xdr:blipFill>
        <a:blip xmlns:r="http://schemas.openxmlformats.org/officeDocument/2006/relationships" r:embed="rId2"/>
        <a:stretch>
          <a:fillRect/>
        </a:stretch>
      </xdr:blipFill>
      <xdr:spPr>
        <a:xfrm>
          <a:off x="6003290" y="62865"/>
          <a:ext cx="1580622" cy="473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g_aroldo\Meus%20documentos\GEOSOLO\PAVIMENT_VG\Medi&#231;&#227;o%20n&#186;%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ysa\c\INTERNET\Eudora\Attach\SBLO_PcP-AmpTPS_fora_CL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EXCEL\CECAV\OR&#199;CILNI.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concrejatobr.sharepoint.com/sites/TRANSFER/INSTITUTO%20PEDRA/02%20-%20ENGENHARIA/01%20-%20Medi&#231;&#227;o%20de%20Obra/04%20-%20BM04%20-%2012_2025/PLANILHA-MEDI&#199;&#213;ES_04_rev01.xlsx" TargetMode="External"/><Relationship Id="rId1" Type="http://schemas.openxmlformats.org/officeDocument/2006/relationships/externalLinkPath" Target="04%20-%20BM04%20-%2012_2025/PLANILHA-MEDI&#199;&#213;ES_04_rev0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concrejatobr.sharepoint.com/sites/TRANSFER/INSTITUTO%20PEDRA/03%20-%20PLANEJAMENTO/00-%20Proje&#231;&#227;o/2026-01/MUSEU%20VIT&#211;RIA%20-%20PROJE&#199;&#195;O%20JAN%20-%20cliente.xlsx" TargetMode="External"/><Relationship Id="rId1" Type="http://schemas.openxmlformats.org/officeDocument/2006/relationships/externalLinkPath" Target="/sites/TRANSFER/INSTITUTO%20PEDRA/03%20-%20PLANEJAMENTO/00-%20Proje&#231;&#227;o/2026-01/MUSEU%20VIT&#211;RIA%20-%20PROJE&#199;&#195;O%20JAN%20-%20clien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ório-5ª med."/>
      <sheetName val="RESUMO-DVOP"/>
      <sheetName val="REAJUSTE "/>
      <sheetName val="Rem. e limpeza "/>
      <sheetName val="Cubação - Teórica"/>
      <sheetName val="DMT - TEORICO "/>
      <sheetName val="Cub.-Med 5"/>
      <sheetName val="DMT-5ª MEDIÇÃO "/>
      <sheetName val="Cronograma Físico-Financeiro"/>
      <sheetName val="Cronograma Semanal"/>
      <sheetName val="Bueiros"/>
      <sheetName val="Regula"/>
      <sheetName val="Sub-base"/>
      <sheetName val="Base"/>
      <sheetName val="Imprimação"/>
      <sheetName val="CBUQ"/>
      <sheetName val="Colchão drenante"/>
      <sheetName val="TSS"/>
      <sheetName val="TSD-FOG"/>
      <sheetName val="AGREGADOS"/>
      <sheetName val="Pintura"/>
      <sheetName val="Grama"/>
      <sheetName val="Transporte de brita"/>
      <sheetName val="DRENO"/>
      <sheetName val="DRENO SALDO"/>
      <sheetName val="AÇO CA-50"/>
      <sheetName val="AÇO CA-50 (2)"/>
      <sheetName val="DMT - TEORICO 2"/>
      <sheetName val="Acumul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6">
          <cell r="J36">
            <v>39224</v>
          </cell>
          <cell r="M36">
            <v>39224</v>
          </cell>
        </row>
      </sheetData>
      <sheetData sheetId="12" refreshError="1">
        <row r="36">
          <cell r="U36">
            <v>228419.09999999998</v>
          </cell>
        </row>
      </sheetData>
      <sheetData sheetId="13" refreshError="1">
        <row r="39">
          <cell r="U39">
            <v>263049.59999999998</v>
          </cell>
        </row>
        <row r="40">
          <cell r="U40">
            <v>13152.48</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amento Global"/>
      <sheetName val="Elétrica"/>
      <sheetName val="Hidrossanitário"/>
      <sheetName val="Genéricos"/>
      <sheetName val="SBLO_PcP-AmpTPS_fora_CLP"/>
      <sheetName val="Orçamento_Global"/>
    </sheetNames>
    <sheetDataSet>
      <sheetData sheetId="0" refreshError="1">
        <row r="38">
          <cell r="D38">
            <v>0.2</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s>
    <sheetDataSet>
      <sheetData sheetId="0" refreshError="1">
        <row r="13">
          <cell r="J13">
            <v>1350.16</v>
          </cell>
        </row>
        <row r="30">
          <cell r="J30">
            <v>1189.9100000000001</v>
          </cell>
        </row>
        <row r="39">
          <cell r="J39">
            <v>11246.3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ON FF"/>
      <sheetName val="Med_04"/>
      <sheetName val="Plan2"/>
      <sheetName val="MC 3"/>
      <sheetName val="MC 4"/>
      <sheetName val="RF"/>
    </sheetNames>
    <sheetDataSet>
      <sheetData sheetId="0"/>
      <sheetData sheetId="1">
        <row r="13">
          <cell r="X13">
            <v>391291.57142857142</v>
          </cell>
          <cell r="Z13">
            <v>391291.57142857142</v>
          </cell>
        </row>
      </sheetData>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ÇAMENTO"/>
      <sheetName val="CURVA ABC"/>
      <sheetName val="PROJ. RECEITA %"/>
      <sheetName val="PLANO DE CONTAS"/>
      <sheetName val="TACRIM- CRONOGRAMA FÍSICO FINAN"/>
      <sheetName val="PROJ. RECEITA $"/>
      <sheetName val="Plano_Contas"/>
      <sheetName val="BD_Receita(%) Realizada"/>
      <sheetName val="BD_Custo Obra"/>
      <sheetName val="Planilha1"/>
      <sheetName val="Projeção_Custo"/>
      <sheetName val="Planilha2"/>
      <sheetName val="Planilha4"/>
      <sheetName val="MÃO DE OBRA"/>
      <sheetName val="PREST SERV"/>
      <sheetName val="MATERIAIS"/>
      <sheetName val="EQUIPAMENTOS"/>
      <sheetName val="DESP GERAIS"/>
      <sheetName val="RESUMO"/>
      <sheetName val="Folha Tacrim Ago-25 (2)"/>
      <sheetName val="Mão de Obra - SET"/>
      <sheetName val="Planilha3"/>
      <sheetName val="Base de Avanço"/>
      <sheetName val="Planilha5"/>
      <sheetName val="CURVA ABC ABERTA"/>
      <sheetName val="Levantamentos"/>
      <sheetName val="Etapas"/>
    </sheetNames>
    <sheetDataSet>
      <sheetData sheetId="0"/>
      <sheetData sheetId="1"/>
      <sheetData sheetId="2"/>
      <sheetData sheetId="3"/>
      <sheetData sheetId="4"/>
      <sheetData sheetId="5">
        <row r="16">
          <cell r="J16">
            <v>9572.39</v>
          </cell>
          <cell r="K16">
            <v>9572.39</v>
          </cell>
          <cell r="L16">
            <v>9572.39</v>
          </cell>
          <cell r="M16">
            <v>9572.39</v>
          </cell>
          <cell r="N16">
            <v>9572.39</v>
          </cell>
          <cell r="O16">
            <v>9572.39</v>
          </cell>
          <cell r="P16">
            <v>9572.39</v>
          </cell>
          <cell r="Q16">
            <v>9572.39</v>
          </cell>
          <cell r="R16">
            <v>9572.39</v>
          </cell>
          <cell r="S16">
            <v>9572.39</v>
          </cell>
          <cell r="T16">
            <v>9572.39</v>
          </cell>
          <cell r="U16">
            <v>9572.39</v>
          </cell>
          <cell r="V16">
            <v>9572.39</v>
          </cell>
          <cell r="W16">
            <v>9572.3900000000394</v>
          </cell>
          <cell r="X16">
            <v>0</v>
          </cell>
          <cell r="Y16">
            <v>0</v>
          </cell>
        </row>
        <row r="17">
          <cell r="J17">
            <v>1980.48</v>
          </cell>
          <cell r="K17">
            <v>0</v>
          </cell>
          <cell r="L17">
            <v>990.24</v>
          </cell>
          <cell r="M17">
            <v>0</v>
          </cell>
          <cell r="N17">
            <v>1980.48</v>
          </cell>
          <cell r="O17">
            <v>0</v>
          </cell>
          <cell r="P17">
            <v>0</v>
          </cell>
          <cell r="Q17">
            <v>0</v>
          </cell>
          <cell r="R17">
            <v>0</v>
          </cell>
          <cell r="S17">
            <v>0</v>
          </cell>
          <cell r="T17">
            <v>0</v>
          </cell>
          <cell r="U17">
            <v>0</v>
          </cell>
          <cell r="V17">
            <v>0</v>
          </cell>
          <cell r="W17">
            <v>0</v>
          </cell>
          <cell r="X17">
            <v>0</v>
          </cell>
          <cell r="Y17">
            <v>0</v>
          </cell>
        </row>
        <row r="18">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4951.2</v>
          </cell>
        </row>
        <row r="19">
          <cell r="J19">
            <v>0</v>
          </cell>
          <cell r="K19">
            <v>0</v>
          </cell>
          <cell r="L19">
            <v>0</v>
          </cell>
          <cell r="M19">
            <v>14029.4</v>
          </cell>
          <cell r="N19">
            <v>0</v>
          </cell>
          <cell r="O19">
            <v>0</v>
          </cell>
          <cell r="P19">
            <v>0</v>
          </cell>
          <cell r="Q19">
            <v>0</v>
          </cell>
          <cell r="R19">
            <v>0</v>
          </cell>
          <cell r="S19">
            <v>0</v>
          </cell>
          <cell r="T19">
            <v>0</v>
          </cell>
          <cell r="U19">
            <v>0</v>
          </cell>
          <cell r="V19">
            <v>0</v>
          </cell>
          <cell r="W19">
            <v>0</v>
          </cell>
          <cell r="X19">
            <v>0</v>
          </cell>
          <cell r="Y19">
            <v>0</v>
          </cell>
        </row>
        <row r="20">
          <cell r="J20">
            <v>0</v>
          </cell>
          <cell r="K20">
            <v>0</v>
          </cell>
          <cell r="L20">
            <v>0</v>
          </cell>
          <cell r="M20">
            <v>10264.464</v>
          </cell>
          <cell r="N20">
            <v>7698.3480000000009</v>
          </cell>
          <cell r="O20">
            <v>7698.3480000000009</v>
          </cell>
          <cell r="P20">
            <v>7698.3480000000009</v>
          </cell>
          <cell r="Q20">
            <v>7698.3480000000009</v>
          </cell>
          <cell r="R20">
            <v>7698.3480000000009</v>
          </cell>
          <cell r="S20">
            <v>7698.3480000000009</v>
          </cell>
          <cell r="T20">
            <v>7698.3480000000009</v>
          </cell>
          <cell r="U20">
            <v>7698.3480000000009</v>
          </cell>
          <cell r="V20">
            <v>7698.3480000000009</v>
          </cell>
          <cell r="W20">
            <v>7698.3480000000009</v>
          </cell>
          <cell r="X20">
            <v>7698.3480000000009</v>
          </cell>
          <cell r="Y20">
            <v>7698.3480000000009</v>
          </cell>
        </row>
        <row r="21">
          <cell r="J21">
            <v>0</v>
          </cell>
          <cell r="K21">
            <v>0</v>
          </cell>
          <cell r="L21">
            <v>0</v>
          </cell>
          <cell r="M21">
            <v>0</v>
          </cell>
          <cell r="N21">
            <v>0</v>
          </cell>
          <cell r="O21">
            <v>0</v>
          </cell>
          <cell r="P21">
            <v>14029.4</v>
          </cell>
          <cell r="Q21">
            <v>0</v>
          </cell>
          <cell r="R21">
            <v>0</v>
          </cell>
          <cell r="S21">
            <v>0</v>
          </cell>
          <cell r="T21">
            <v>0</v>
          </cell>
          <cell r="U21">
            <v>0</v>
          </cell>
          <cell r="V21">
            <v>0</v>
          </cell>
          <cell r="W21">
            <v>0</v>
          </cell>
          <cell r="X21">
            <v>0</v>
          </cell>
          <cell r="Y21">
            <v>0</v>
          </cell>
        </row>
        <row r="22">
          <cell r="J22">
            <v>0</v>
          </cell>
          <cell r="K22">
            <v>0</v>
          </cell>
          <cell r="L22">
            <v>0</v>
          </cell>
          <cell r="M22">
            <v>0</v>
          </cell>
          <cell r="N22">
            <v>0</v>
          </cell>
          <cell r="O22">
            <v>0</v>
          </cell>
          <cell r="P22">
            <v>9828.4340000000011</v>
          </cell>
          <cell r="Q22">
            <v>9828.4340000000011</v>
          </cell>
          <cell r="R22">
            <v>9828.4340000000011</v>
          </cell>
          <cell r="S22">
            <v>9828.4340000000011</v>
          </cell>
          <cell r="T22">
            <v>9828.4340000000011</v>
          </cell>
          <cell r="U22">
            <v>9828.4340000000011</v>
          </cell>
          <cell r="V22">
            <v>9828.4340000000011</v>
          </cell>
          <cell r="W22">
            <v>9828.4340000000011</v>
          </cell>
          <cell r="X22">
            <v>9828.4340000000011</v>
          </cell>
          <cell r="Y22">
            <v>9828.4340000000011</v>
          </cell>
        </row>
        <row r="23">
          <cell r="J23">
            <v>0</v>
          </cell>
          <cell r="K23">
            <v>0</v>
          </cell>
          <cell r="L23">
            <v>0</v>
          </cell>
          <cell r="N23">
            <v>36465</v>
          </cell>
          <cell r="O23">
            <v>36465</v>
          </cell>
          <cell r="P23">
            <v>36465</v>
          </cell>
          <cell r="Q23">
            <v>36465</v>
          </cell>
          <cell r="R23">
            <v>36465</v>
          </cell>
          <cell r="S23">
            <v>36465</v>
          </cell>
          <cell r="T23">
            <v>36465</v>
          </cell>
          <cell r="U23">
            <v>36465</v>
          </cell>
          <cell r="V23">
            <v>36465</v>
          </cell>
          <cell r="W23">
            <v>36465</v>
          </cell>
          <cell r="X23">
            <v>36465</v>
          </cell>
          <cell r="Y23">
            <v>36465</v>
          </cell>
        </row>
        <row r="24">
          <cell r="J24">
            <v>0</v>
          </cell>
          <cell r="K24">
            <v>0</v>
          </cell>
          <cell r="L24">
            <v>0</v>
          </cell>
          <cell r="M24">
            <v>0</v>
          </cell>
          <cell r="N24">
            <v>0</v>
          </cell>
          <cell r="O24">
            <v>0</v>
          </cell>
          <cell r="P24">
            <v>1566</v>
          </cell>
          <cell r="Q24">
            <v>1566</v>
          </cell>
          <cell r="R24">
            <v>1566</v>
          </cell>
          <cell r="S24">
            <v>1566</v>
          </cell>
          <cell r="T24">
            <v>1566</v>
          </cell>
          <cell r="U24">
            <v>1566</v>
          </cell>
          <cell r="V24">
            <v>1566</v>
          </cell>
          <cell r="W24">
            <v>1566</v>
          </cell>
          <cell r="X24">
            <v>1566</v>
          </cell>
          <cell r="Y24">
            <v>1566</v>
          </cell>
        </row>
        <row r="25">
          <cell r="J25">
            <v>222.7</v>
          </cell>
          <cell r="K25">
            <v>222.7</v>
          </cell>
          <cell r="L25">
            <v>2227</v>
          </cell>
          <cell r="M25">
            <v>9687.4499999999989</v>
          </cell>
          <cell r="N25">
            <v>3229.15</v>
          </cell>
          <cell r="O25">
            <v>3229.15</v>
          </cell>
          <cell r="P25">
            <v>3229.15</v>
          </cell>
          <cell r="Q25">
            <v>6458.3</v>
          </cell>
          <cell r="R25">
            <v>6458.3</v>
          </cell>
          <cell r="S25">
            <v>6458.3</v>
          </cell>
          <cell r="T25">
            <v>6458.3</v>
          </cell>
          <cell r="U25">
            <v>3874.98</v>
          </cell>
          <cell r="V25">
            <v>3785.9000000000005</v>
          </cell>
          <cell r="W25">
            <v>3229.15</v>
          </cell>
          <cell r="X25">
            <v>3229.15</v>
          </cell>
          <cell r="Y25">
            <v>2583.3200000000002</v>
          </cell>
        </row>
        <row r="26">
          <cell r="J26">
            <v>0</v>
          </cell>
          <cell r="K26">
            <v>0</v>
          </cell>
          <cell r="L26">
            <v>0</v>
          </cell>
          <cell r="M26">
            <v>0</v>
          </cell>
          <cell r="N26">
            <v>0</v>
          </cell>
          <cell r="O26">
            <v>0</v>
          </cell>
          <cell r="P26">
            <v>108587.04</v>
          </cell>
          <cell r="Q26">
            <v>0</v>
          </cell>
          <cell r="R26">
            <v>0</v>
          </cell>
          <cell r="S26">
            <v>0</v>
          </cell>
          <cell r="T26">
            <v>0</v>
          </cell>
          <cell r="U26">
            <v>0</v>
          </cell>
          <cell r="V26">
            <v>0</v>
          </cell>
          <cell r="W26">
            <v>0</v>
          </cell>
          <cell r="X26">
            <v>0</v>
          </cell>
          <cell r="Y26">
            <v>0</v>
          </cell>
        </row>
        <row r="27">
          <cell r="J27">
            <v>369.6</v>
          </cell>
          <cell r="K27">
            <v>369.6</v>
          </cell>
          <cell r="L27">
            <v>3696</v>
          </cell>
          <cell r="M27">
            <v>6237</v>
          </cell>
          <cell r="N27">
            <v>2079</v>
          </cell>
          <cell r="O27">
            <v>2645.9999999999995</v>
          </cell>
          <cell r="P27">
            <v>2645.9999999999995</v>
          </cell>
          <cell r="Q27">
            <v>2645.9999999999995</v>
          </cell>
          <cell r="R27">
            <v>2645.9999999999995</v>
          </cell>
          <cell r="S27">
            <v>2645.9999999999995</v>
          </cell>
          <cell r="T27">
            <v>2645.9999999999995</v>
          </cell>
          <cell r="U27">
            <v>2645.9999999999995</v>
          </cell>
          <cell r="V27">
            <v>2645.9999999999995</v>
          </cell>
          <cell r="W27">
            <v>2645.9999999999995</v>
          </cell>
          <cell r="X27">
            <v>2645.9999999999995</v>
          </cell>
          <cell r="Y27">
            <v>2368.8000000000152</v>
          </cell>
        </row>
        <row r="28">
          <cell r="J28">
            <v>0</v>
          </cell>
          <cell r="K28">
            <v>0</v>
          </cell>
          <cell r="L28">
            <v>0</v>
          </cell>
          <cell r="N28">
            <v>394.7863636363636</v>
          </cell>
          <cell r="O28">
            <v>394.7863636363636</v>
          </cell>
          <cell r="P28">
            <v>394.7863636363636</v>
          </cell>
          <cell r="Q28">
            <v>394.7863636363636</v>
          </cell>
          <cell r="R28">
            <v>394.7863636363636</v>
          </cell>
          <cell r="S28">
            <v>394.7863636363636</v>
          </cell>
          <cell r="T28">
            <v>394.7863636363636</v>
          </cell>
          <cell r="U28">
            <v>394.7863636363636</v>
          </cell>
          <cell r="V28">
            <v>394.7863636363636</v>
          </cell>
          <cell r="W28">
            <v>394.7863636363636</v>
          </cell>
          <cell r="X28">
            <v>394.7863636363636</v>
          </cell>
          <cell r="Y28">
            <v>0</v>
          </cell>
        </row>
        <row r="29">
          <cell r="J29">
            <v>0</v>
          </cell>
          <cell r="K29">
            <v>0</v>
          </cell>
          <cell r="L29">
            <v>0</v>
          </cell>
          <cell r="M29">
            <v>0</v>
          </cell>
          <cell r="N29">
            <v>0</v>
          </cell>
          <cell r="O29">
            <v>0</v>
          </cell>
          <cell r="P29">
            <v>49908.474000000009</v>
          </cell>
          <cell r="Q29">
            <v>49908.474000000009</v>
          </cell>
          <cell r="R29">
            <v>49908.474000000009</v>
          </cell>
          <cell r="S29">
            <v>49908.474000000009</v>
          </cell>
          <cell r="T29">
            <v>49908.474000000009</v>
          </cell>
          <cell r="U29">
            <v>27726.930000000008</v>
          </cell>
          <cell r="V29">
            <v>0</v>
          </cell>
          <cell r="W29">
            <v>0</v>
          </cell>
          <cell r="X29">
            <v>0</v>
          </cell>
          <cell r="Y29">
            <v>0</v>
          </cell>
        </row>
        <row r="30">
          <cell r="J30">
            <v>0</v>
          </cell>
          <cell r="K30">
            <v>9769.8000000000011</v>
          </cell>
          <cell r="L30">
            <v>0</v>
          </cell>
          <cell r="N30">
            <v>0</v>
          </cell>
          <cell r="O30">
            <v>0</v>
          </cell>
          <cell r="P30">
            <v>87928.200000000012</v>
          </cell>
          <cell r="Q30">
            <v>0</v>
          </cell>
          <cell r="R30">
            <v>0</v>
          </cell>
          <cell r="S30">
            <v>0</v>
          </cell>
          <cell r="T30">
            <v>0</v>
          </cell>
          <cell r="U30">
            <v>0</v>
          </cell>
          <cell r="V30">
            <v>0</v>
          </cell>
          <cell r="W30">
            <v>0</v>
          </cell>
          <cell r="X30">
            <v>0</v>
          </cell>
          <cell r="Y30">
            <v>0</v>
          </cell>
        </row>
        <row r="31">
          <cell r="J31">
            <v>0</v>
          </cell>
          <cell r="K31">
            <v>0</v>
          </cell>
          <cell r="L31">
            <v>0</v>
          </cell>
          <cell r="M31">
            <v>21654.080000000002</v>
          </cell>
          <cell r="N31">
            <v>0</v>
          </cell>
          <cell r="O31">
            <v>0</v>
          </cell>
          <cell r="P31">
            <v>0</v>
          </cell>
          <cell r="Q31">
            <v>0</v>
          </cell>
          <cell r="R31">
            <v>0</v>
          </cell>
          <cell r="S31">
            <v>0</v>
          </cell>
          <cell r="T31">
            <v>0</v>
          </cell>
          <cell r="U31">
            <v>0</v>
          </cell>
          <cell r="V31">
            <v>0</v>
          </cell>
          <cell r="W31">
            <v>0</v>
          </cell>
          <cell r="X31">
            <v>0</v>
          </cell>
          <cell r="Y31">
            <v>0</v>
          </cell>
        </row>
        <row r="33">
          <cell r="K33">
            <v>0</v>
          </cell>
          <cell r="L33">
            <v>0</v>
          </cell>
          <cell r="M33">
            <v>0</v>
          </cell>
          <cell r="N33">
            <v>0</v>
          </cell>
          <cell r="O33">
            <v>0</v>
          </cell>
          <cell r="P33">
            <v>7722.3899999999994</v>
          </cell>
          <cell r="Q33">
            <v>0</v>
          </cell>
          <cell r="R33">
            <v>0</v>
          </cell>
          <cell r="S33">
            <v>0</v>
          </cell>
          <cell r="T33">
            <v>0</v>
          </cell>
          <cell r="U33">
            <v>0</v>
          </cell>
          <cell r="V33">
            <v>0</v>
          </cell>
          <cell r="W33">
            <v>0</v>
          </cell>
          <cell r="X33">
            <v>0</v>
          </cell>
          <cell r="Y33">
            <v>0</v>
          </cell>
          <cell r="Z33">
            <v>0</v>
          </cell>
        </row>
        <row r="34">
          <cell r="K34">
            <v>0</v>
          </cell>
          <cell r="L34">
            <v>0</v>
          </cell>
          <cell r="M34">
            <v>0</v>
          </cell>
          <cell r="N34">
            <v>0</v>
          </cell>
          <cell r="O34">
            <v>0</v>
          </cell>
          <cell r="P34">
            <v>4020.6375000000003</v>
          </cell>
          <cell r="Q34">
            <v>0</v>
          </cell>
          <cell r="R34">
            <v>0</v>
          </cell>
          <cell r="S34">
            <v>0</v>
          </cell>
          <cell r="T34">
            <v>0</v>
          </cell>
          <cell r="U34">
            <v>0</v>
          </cell>
          <cell r="V34">
            <v>0</v>
          </cell>
          <cell r="W34">
            <v>0</v>
          </cell>
          <cell r="X34">
            <v>0</v>
          </cell>
          <cell r="Y34">
            <v>0</v>
          </cell>
          <cell r="Z34">
            <v>0</v>
          </cell>
        </row>
        <row r="35">
          <cell r="K35">
            <v>0</v>
          </cell>
          <cell r="L35">
            <v>0</v>
          </cell>
          <cell r="M35">
            <v>0</v>
          </cell>
          <cell r="N35">
            <v>0</v>
          </cell>
          <cell r="O35">
            <v>0</v>
          </cell>
          <cell r="P35">
            <v>0</v>
          </cell>
          <cell r="Q35">
            <v>63509.530000000006</v>
          </cell>
          <cell r="R35">
            <v>63509.530000000006</v>
          </cell>
          <cell r="S35">
            <v>0</v>
          </cell>
          <cell r="T35">
            <v>0</v>
          </cell>
          <cell r="U35">
            <v>0</v>
          </cell>
          <cell r="V35">
            <v>0</v>
          </cell>
          <cell r="W35">
            <v>0</v>
          </cell>
          <cell r="X35">
            <v>0</v>
          </cell>
          <cell r="Y35">
            <v>0</v>
          </cell>
          <cell r="Z35">
            <v>0</v>
          </cell>
        </row>
        <row r="36">
          <cell r="K36">
            <v>0</v>
          </cell>
          <cell r="L36">
            <v>0</v>
          </cell>
          <cell r="M36">
            <v>0</v>
          </cell>
          <cell r="N36">
            <v>0</v>
          </cell>
          <cell r="O36">
            <v>0</v>
          </cell>
          <cell r="P36">
            <v>0</v>
          </cell>
          <cell r="Q36">
            <v>0</v>
          </cell>
          <cell r="R36">
            <v>0</v>
          </cell>
          <cell r="S36">
            <v>54436.740000000005</v>
          </cell>
          <cell r="T36">
            <v>0</v>
          </cell>
          <cell r="U36">
            <v>0</v>
          </cell>
          <cell r="V36">
            <v>0</v>
          </cell>
          <cell r="W36">
            <v>0</v>
          </cell>
          <cell r="X36">
            <v>0</v>
          </cell>
          <cell r="Y36">
            <v>0</v>
          </cell>
          <cell r="Z36">
            <v>0</v>
          </cell>
        </row>
        <row r="37">
          <cell r="K37">
            <v>0</v>
          </cell>
          <cell r="L37">
            <v>0</v>
          </cell>
          <cell r="M37">
            <v>0</v>
          </cell>
          <cell r="N37">
            <v>0</v>
          </cell>
          <cell r="O37">
            <v>0</v>
          </cell>
          <cell r="P37">
            <v>0</v>
          </cell>
          <cell r="Q37">
            <v>0</v>
          </cell>
          <cell r="R37">
            <v>0</v>
          </cell>
          <cell r="S37">
            <v>0</v>
          </cell>
          <cell r="T37">
            <v>4891.2443759999996</v>
          </cell>
          <cell r="U37">
            <v>5298.8480739999995</v>
          </cell>
          <cell r="V37">
            <v>10190.09245</v>
          </cell>
          <cell r="W37">
            <v>16643.816198404227</v>
          </cell>
          <cell r="X37">
            <v>44496.73850159577</v>
          </cell>
          <cell r="Y37">
            <v>0</v>
          </cell>
          <cell r="Z37">
            <v>0</v>
          </cell>
        </row>
        <row r="38">
          <cell r="K38">
            <v>0</v>
          </cell>
          <cell r="L38">
            <v>0</v>
          </cell>
          <cell r="M38">
            <v>0</v>
          </cell>
          <cell r="N38">
            <v>0</v>
          </cell>
          <cell r="O38">
            <v>0</v>
          </cell>
          <cell r="P38">
            <v>0</v>
          </cell>
          <cell r="Q38">
            <v>0</v>
          </cell>
          <cell r="R38">
            <v>0</v>
          </cell>
          <cell r="S38">
            <v>0</v>
          </cell>
          <cell r="T38">
            <v>0</v>
          </cell>
          <cell r="U38">
            <v>0</v>
          </cell>
          <cell r="V38">
            <v>0</v>
          </cell>
          <cell r="W38">
            <v>1730.9650000000001</v>
          </cell>
          <cell r="X38">
            <v>1730.9650000000001</v>
          </cell>
          <cell r="Y38">
            <v>3461.9300000000003</v>
          </cell>
          <cell r="Z38">
            <v>0</v>
          </cell>
        </row>
        <row r="39">
          <cell r="K39">
            <v>0</v>
          </cell>
          <cell r="L39">
            <v>0</v>
          </cell>
          <cell r="M39">
            <v>0</v>
          </cell>
          <cell r="N39">
            <v>0</v>
          </cell>
          <cell r="O39">
            <v>0</v>
          </cell>
          <cell r="P39">
            <v>0</v>
          </cell>
          <cell r="Q39">
            <v>0</v>
          </cell>
          <cell r="R39">
            <v>0</v>
          </cell>
          <cell r="S39">
            <v>0</v>
          </cell>
          <cell r="T39">
            <v>0</v>
          </cell>
          <cell r="U39">
            <v>0</v>
          </cell>
          <cell r="V39">
            <v>0</v>
          </cell>
          <cell r="W39">
            <v>0</v>
          </cell>
          <cell r="X39">
            <v>2661.8694409999998</v>
          </cell>
          <cell r="Y39">
            <v>2661.8694409999998</v>
          </cell>
          <cell r="Z39">
            <v>0</v>
          </cell>
        </row>
        <row r="40">
          <cell r="K40">
            <v>0</v>
          </cell>
          <cell r="L40">
            <v>0</v>
          </cell>
          <cell r="M40">
            <v>0</v>
          </cell>
          <cell r="N40">
            <v>0</v>
          </cell>
          <cell r="O40">
            <v>0</v>
          </cell>
          <cell r="P40">
            <v>0</v>
          </cell>
          <cell r="Q40">
            <v>45996.606</v>
          </cell>
          <cell r="R40">
            <v>45996.606</v>
          </cell>
          <cell r="S40">
            <v>45996.606</v>
          </cell>
          <cell r="T40">
            <v>45996.606</v>
          </cell>
          <cell r="U40">
            <v>0</v>
          </cell>
          <cell r="V40">
            <v>0</v>
          </cell>
          <cell r="W40">
            <v>0</v>
          </cell>
          <cell r="X40">
            <v>0</v>
          </cell>
          <cell r="Y40">
            <v>0</v>
          </cell>
          <cell r="Z40">
            <v>0</v>
          </cell>
        </row>
        <row r="42">
          <cell r="J42">
            <v>0</v>
          </cell>
          <cell r="K42">
            <v>0</v>
          </cell>
          <cell r="L42">
            <v>0</v>
          </cell>
          <cell r="M42">
            <v>0</v>
          </cell>
          <cell r="N42">
            <v>17790.912</v>
          </cell>
          <cell r="O42">
            <v>17790.912</v>
          </cell>
          <cell r="P42">
            <v>0</v>
          </cell>
          <cell r="Q42">
            <v>0</v>
          </cell>
          <cell r="R42">
            <v>0</v>
          </cell>
          <cell r="S42">
            <v>0</v>
          </cell>
          <cell r="T42">
            <v>0</v>
          </cell>
          <cell r="U42">
            <v>0</v>
          </cell>
          <cell r="V42">
            <v>0</v>
          </cell>
          <cell r="W42">
            <v>0</v>
          </cell>
          <cell r="X42">
            <v>0</v>
          </cell>
          <cell r="Y42">
            <v>0</v>
          </cell>
        </row>
        <row r="43">
          <cell r="J43">
            <v>0</v>
          </cell>
          <cell r="K43">
            <v>0</v>
          </cell>
          <cell r="L43">
            <v>0</v>
          </cell>
          <cell r="M43">
            <v>0</v>
          </cell>
          <cell r="N43">
            <v>28636.168499999996</v>
          </cell>
          <cell r="O43">
            <v>28636.168499999996</v>
          </cell>
          <cell r="P43">
            <v>0</v>
          </cell>
          <cell r="Q43">
            <v>0</v>
          </cell>
          <cell r="R43">
            <v>0</v>
          </cell>
          <cell r="S43">
            <v>0</v>
          </cell>
          <cell r="T43">
            <v>0</v>
          </cell>
          <cell r="U43">
            <v>0</v>
          </cell>
          <cell r="V43">
            <v>0</v>
          </cell>
          <cell r="W43">
            <v>0</v>
          </cell>
          <cell r="X43">
            <v>0</v>
          </cell>
          <cell r="Y43">
            <v>0</v>
          </cell>
        </row>
        <row r="44">
          <cell r="J44">
            <v>0</v>
          </cell>
          <cell r="K44">
            <v>0</v>
          </cell>
          <cell r="L44">
            <v>1701.50701</v>
          </cell>
          <cell r="M44">
            <v>3319.5549456516501</v>
          </cell>
          <cell r="N44">
            <v>1698.353892023041</v>
          </cell>
          <cell r="O44">
            <v>1781.8855704077882</v>
          </cell>
          <cell r="P44">
            <v>0</v>
          </cell>
          <cell r="Q44">
            <v>0</v>
          </cell>
          <cell r="R44">
            <v>0</v>
          </cell>
          <cell r="S44">
            <v>0</v>
          </cell>
          <cell r="T44">
            <v>0</v>
          </cell>
          <cell r="U44">
            <v>0</v>
          </cell>
          <cell r="V44">
            <v>0</v>
          </cell>
          <cell r="W44">
            <v>0</v>
          </cell>
          <cell r="X44">
            <v>0</v>
          </cell>
          <cell r="Y44">
            <v>0</v>
          </cell>
        </row>
        <row r="45">
          <cell r="J45">
            <v>0</v>
          </cell>
          <cell r="K45">
            <v>2171.77</v>
          </cell>
          <cell r="L45">
            <v>0</v>
          </cell>
          <cell r="N45">
            <v>0</v>
          </cell>
          <cell r="O45">
            <v>0</v>
          </cell>
          <cell r="P45">
            <v>0</v>
          </cell>
          <cell r="Q45">
            <v>0</v>
          </cell>
          <cell r="R45">
            <v>0</v>
          </cell>
          <cell r="S45">
            <v>0</v>
          </cell>
          <cell r="T45">
            <v>0</v>
          </cell>
          <cell r="U45">
            <v>0</v>
          </cell>
          <cell r="V45">
            <v>0</v>
          </cell>
          <cell r="W45">
            <v>0</v>
          </cell>
          <cell r="X45">
            <v>0</v>
          </cell>
          <cell r="Y45">
            <v>0</v>
          </cell>
        </row>
        <row r="46">
          <cell r="J46">
            <v>0</v>
          </cell>
          <cell r="K46">
            <v>11181.15</v>
          </cell>
          <cell r="L46">
            <v>0</v>
          </cell>
          <cell r="M46">
            <v>0</v>
          </cell>
          <cell r="N46">
            <v>0</v>
          </cell>
          <cell r="O46">
            <v>0</v>
          </cell>
          <cell r="P46">
            <v>0</v>
          </cell>
          <cell r="Q46">
            <v>0</v>
          </cell>
          <cell r="R46">
            <v>0</v>
          </cell>
          <cell r="S46">
            <v>0</v>
          </cell>
          <cell r="T46">
            <v>0</v>
          </cell>
          <cell r="U46">
            <v>0</v>
          </cell>
          <cell r="V46">
            <v>0</v>
          </cell>
          <cell r="W46">
            <v>0</v>
          </cell>
          <cell r="X46">
            <v>0</v>
          </cell>
          <cell r="Y46">
            <v>0</v>
          </cell>
        </row>
        <row r="47">
          <cell r="J47">
            <v>0</v>
          </cell>
          <cell r="K47">
            <v>0</v>
          </cell>
          <cell r="L47">
            <v>0</v>
          </cell>
          <cell r="M47">
            <v>3635.28</v>
          </cell>
          <cell r="N47">
            <v>0</v>
          </cell>
          <cell r="O47">
            <v>0</v>
          </cell>
          <cell r="P47">
            <v>5388.6599999999989</v>
          </cell>
          <cell r="Q47">
            <v>5388.6599999999989</v>
          </cell>
          <cell r="R47">
            <v>5388.6599999999989</v>
          </cell>
          <cell r="S47">
            <v>3834.1800000000035</v>
          </cell>
          <cell r="T47">
            <v>0</v>
          </cell>
          <cell r="U47">
            <v>0</v>
          </cell>
          <cell r="V47">
            <v>0</v>
          </cell>
          <cell r="W47">
            <v>0</v>
          </cell>
          <cell r="X47">
            <v>0</v>
          </cell>
          <cell r="Y47">
            <v>0</v>
          </cell>
        </row>
        <row r="48">
          <cell r="J48">
            <v>0</v>
          </cell>
          <cell r="K48">
            <v>0</v>
          </cell>
          <cell r="L48">
            <v>0</v>
          </cell>
          <cell r="N48">
            <v>1424.9783999999997</v>
          </cell>
          <cell r="O48">
            <v>0</v>
          </cell>
          <cell r="P48">
            <v>638.21609999999976</v>
          </cell>
          <cell r="Q48">
            <v>638.21609999999976</v>
          </cell>
          <cell r="R48">
            <v>638.21609999999976</v>
          </cell>
          <cell r="S48">
            <v>638.21609999999976</v>
          </cell>
          <cell r="T48">
            <v>0</v>
          </cell>
          <cell r="U48">
            <v>0</v>
          </cell>
          <cell r="V48">
            <v>0</v>
          </cell>
          <cell r="W48">
            <v>0</v>
          </cell>
          <cell r="X48">
            <v>0</v>
          </cell>
          <cell r="Y48">
            <v>0</v>
          </cell>
        </row>
        <row r="49">
          <cell r="J49">
            <v>0</v>
          </cell>
          <cell r="K49">
            <v>0</v>
          </cell>
          <cell r="L49">
            <v>0</v>
          </cell>
          <cell r="M49">
            <v>0</v>
          </cell>
          <cell r="N49">
            <v>0</v>
          </cell>
          <cell r="O49">
            <v>968.40485000000001</v>
          </cell>
          <cell r="P49">
            <v>968.40485000000001</v>
          </cell>
          <cell r="Q49">
            <v>968.40485000000001</v>
          </cell>
          <cell r="R49">
            <v>968.40485000000001</v>
          </cell>
          <cell r="S49">
            <v>0</v>
          </cell>
          <cell r="T49">
            <v>0</v>
          </cell>
          <cell r="U49">
            <v>0</v>
          </cell>
          <cell r="V49">
            <v>0</v>
          </cell>
          <cell r="W49">
            <v>0</v>
          </cell>
          <cell r="X49">
            <v>0</v>
          </cell>
          <cell r="Y49">
            <v>0</v>
          </cell>
        </row>
        <row r="50">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row>
        <row r="51">
          <cell r="J51">
            <v>21000.42</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row>
        <row r="52">
          <cell r="J52">
            <v>0</v>
          </cell>
          <cell r="K52">
            <v>0</v>
          </cell>
          <cell r="L52">
            <v>90456.379199999996</v>
          </cell>
          <cell r="M52">
            <v>26044.349689999999</v>
          </cell>
          <cell r="N52">
            <v>16718.45211396661</v>
          </cell>
          <cell r="O52">
            <v>0</v>
          </cell>
          <cell r="P52">
            <v>0</v>
          </cell>
          <cell r="Q52">
            <v>0</v>
          </cell>
          <cell r="R52">
            <v>0</v>
          </cell>
          <cell r="S52">
            <v>0</v>
          </cell>
          <cell r="T52">
            <v>0</v>
          </cell>
          <cell r="U52">
            <v>0</v>
          </cell>
          <cell r="V52">
            <v>0</v>
          </cell>
          <cell r="W52">
            <v>0</v>
          </cell>
          <cell r="X52">
            <v>0</v>
          </cell>
          <cell r="Y52">
            <v>0</v>
          </cell>
        </row>
        <row r="53">
          <cell r="J53">
            <v>3677.44</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4">
          <cell r="J54">
            <v>0</v>
          </cell>
          <cell r="K54">
            <v>0</v>
          </cell>
          <cell r="L54">
            <v>14921.874800000003</v>
          </cell>
          <cell r="M54">
            <v>3095.20235</v>
          </cell>
          <cell r="N54">
            <v>461.74298493347169</v>
          </cell>
          <cell r="O54">
            <v>0</v>
          </cell>
          <cell r="P54">
            <v>0</v>
          </cell>
          <cell r="Q54">
            <v>0</v>
          </cell>
          <cell r="R54">
            <v>0</v>
          </cell>
          <cell r="S54">
            <v>0</v>
          </cell>
          <cell r="T54">
            <v>0</v>
          </cell>
          <cell r="U54">
            <v>0</v>
          </cell>
          <cell r="V54">
            <v>0</v>
          </cell>
          <cell r="W54">
            <v>0</v>
          </cell>
          <cell r="X54">
            <v>0</v>
          </cell>
          <cell r="Y54">
            <v>0</v>
          </cell>
        </row>
        <row r="55">
          <cell r="J55">
            <v>8237.86</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row>
        <row r="56">
          <cell r="J56">
            <v>0</v>
          </cell>
          <cell r="K56">
            <v>2774.4</v>
          </cell>
          <cell r="L56">
            <v>0</v>
          </cell>
          <cell r="M56">
            <v>0</v>
          </cell>
          <cell r="N56">
            <v>0</v>
          </cell>
          <cell r="O56">
            <v>0</v>
          </cell>
          <cell r="P56">
            <v>0</v>
          </cell>
          <cell r="Q56">
            <v>0</v>
          </cell>
          <cell r="R56">
            <v>0</v>
          </cell>
          <cell r="S56">
            <v>0</v>
          </cell>
          <cell r="T56">
            <v>0</v>
          </cell>
          <cell r="U56">
            <v>0</v>
          </cell>
          <cell r="V56">
            <v>0</v>
          </cell>
          <cell r="W56">
            <v>0</v>
          </cell>
          <cell r="X56">
            <v>0</v>
          </cell>
          <cell r="Y56">
            <v>0</v>
          </cell>
        </row>
        <row r="57">
          <cell r="J57">
            <v>0</v>
          </cell>
          <cell r="K57">
            <v>2965.82</v>
          </cell>
          <cell r="L57">
            <v>0</v>
          </cell>
          <cell r="M57">
            <v>0</v>
          </cell>
          <cell r="N57">
            <v>0</v>
          </cell>
          <cell r="O57">
            <v>0</v>
          </cell>
          <cell r="P57">
            <v>0</v>
          </cell>
          <cell r="Q57">
            <v>0</v>
          </cell>
          <cell r="R57">
            <v>0</v>
          </cell>
          <cell r="S57">
            <v>0</v>
          </cell>
          <cell r="T57">
            <v>0</v>
          </cell>
          <cell r="U57">
            <v>0</v>
          </cell>
          <cell r="V57">
            <v>0</v>
          </cell>
          <cell r="W57">
            <v>0</v>
          </cell>
          <cell r="X57">
            <v>0</v>
          </cell>
          <cell r="Y57">
            <v>0</v>
          </cell>
        </row>
        <row r="58">
          <cell r="J58">
            <v>27944.6</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row>
        <row r="59">
          <cell r="J59">
            <v>0</v>
          </cell>
          <cell r="K59">
            <v>0</v>
          </cell>
          <cell r="L59">
            <v>0</v>
          </cell>
          <cell r="M59">
            <v>1800.58</v>
          </cell>
          <cell r="N59">
            <v>0</v>
          </cell>
          <cell r="O59">
            <v>0</v>
          </cell>
          <cell r="P59">
            <v>0</v>
          </cell>
          <cell r="Q59">
            <v>0</v>
          </cell>
          <cell r="R59">
            <v>0</v>
          </cell>
          <cell r="S59">
            <v>0</v>
          </cell>
          <cell r="T59">
            <v>0</v>
          </cell>
          <cell r="U59">
            <v>0</v>
          </cell>
          <cell r="V59">
            <v>0</v>
          </cell>
          <cell r="W59">
            <v>0</v>
          </cell>
          <cell r="X59">
            <v>0</v>
          </cell>
          <cell r="Y59">
            <v>0</v>
          </cell>
        </row>
        <row r="60">
          <cell r="J60">
            <v>0</v>
          </cell>
          <cell r="K60">
            <v>75726.820000000007</v>
          </cell>
          <cell r="L60">
            <v>0</v>
          </cell>
          <cell r="M60">
            <v>0</v>
          </cell>
          <cell r="N60">
            <v>0</v>
          </cell>
          <cell r="O60">
            <v>0</v>
          </cell>
          <cell r="P60">
            <v>0</v>
          </cell>
          <cell r="Q60">
            <v>0</v>
          </cell>
          <cell r="R60">
            <v>0</v>
          </cell>
          <cell r="S60">
            <v>0</v>
          </cell>
          <cell r="T60">
            <v>0</v>
          </cell>
          <cell r="U60">
            <v>0</v>
          </cell>
          <cell r="V60">
            <v>0</v>
          </cell>
          <cell r="W60">
            <v>0</v>
          </cell>
          <cell r="X60">
            <v>0</v>
          </cell>
          <cell r="Y60">
            <v>0</v>
          </cell>
        </row>
        <row r="61">
          <cell r="J61">
            <v>0</v>
          </cell>
          <cell r="K61">
            <v>0</v>
          </cell>
          <cell r="L61">
            <v>25139.219000000001</v>
          </cell>
          <cell r="M61">
            <v>11882.971000000001</v>
          </cell>
          <cell r="N61">
            <v>0</v>
          </cell>
          <cell r="O61">
            <v>0</v>
          </cell>
          <cell r="P61">
            <v>0</v>
          </cell>
          <cell r="Q61">
            <v>0</v>
          </cell>
          <cell r="R61">
            <v>0</v>
          </cell>
          <cell r="S61">
            <v>0</v>
          </cell>
          <cell r="T61">
            <v>0</v>
          </cell>
          <cell r="U61">
            <v>0</v>
          </cell>
          <cell r="V61">
            <v>0</v>
          </cell>
          <cell r="W61">
            <v>0</v>
          </cell>
          <cell r="X61">
            <v>0</v>
          </cell>
          <cell r="Y61">
            <v>0</v>
          </cell>
        </row>
        <row r="62">
          <cell r="J62">
            <v>0</v>
          </cell>
          <cell r="K62">
            <v>0</v>
          </cell>
          <cell r="L62">
            <v>0</v>
          </cell>
          <cell r="M62">
            <v>17798.018813999995</v>
          </cell>
          <cell r="N62">
            <v>21753.132791999906</v>
          </cell>
          <cell r="O62">
            <v>0</v>
          </cell>
          <cell r="P62">
            <v>0</v>
          </cell>
          <cell r="Q62">
            <v>0</v>
          </cell>
          <cell r="R62">
            <v>0</v>
          </cell>
          <cell r="S62">
            <v>0</v>
          </cell>
          <cell r="T62">
            <v>0</v>
          </cell>
          <cell r="U62">
            <v>0</v>
          </cell>
          <cell r="V62">
            <v>0</v>
          </cell>
          <cell r="W62">
            <v>0</v>
          </cell>
          <cell r="X62">
            <v>0</v>
          </cell>
          <cell r="Y62">
            <v>0</v>
          </cell>
        </row>
        <row r="63">
          <cell r="J63">
            <v>0</v>
          </cell>
          <cell r="K63">
            <v>0</v>
          </cell>
          <cell r="L63">
            <v>0</v>
          </cell>
          <cell r="M63">
            <v>0</v>
          </cell>
          <cell r="N63">
            <v>5043.7092000000002</v>
          </cell>
          <cell r="O63">
            <v>0</v>
          </cell>
          <cell r="P63">
            <v>0</v>
          </cell>
          <cell r="Q63">
            <v>0</v>
          </cell>
          <cell r="R63">
            <v>0</v>
          </cell>
          <cell r="S63">
            <v>0</v>
          </cell>
          <cell r="T63">
            <v>0</v>
          </cell>
          <cell r="U63">
            <v>0</v>
          </cell>
          <cell r="V63">
            <v>0</v>
          </cell>
          <cell r="W63">
            <v>0</v>
          </cell>
          <cell r="X63">
            <v>0</v>
          </cell>
          <cell r="Y63">
            <v>0</v>
          </cell>
        </row>
        <row r="64">
          <cell r="J64">
            <v>0</v>
          </cell>
          <cell r="K64">
            <v>0</v>
          </cell>
          <cell r="L64">
            <v>0</v>
          </cell>
          <cell r="M64">
            <v>13658.350086000002</v>
          </cell>
          <cell r="N64">
            <v>9105.5667240000021</v>
          </cell>
          <cell r="O64">
            <v>7587.9681839987752</v>
          </cell>
          <cell r="P64">
            <v>0</v>
          </cell>
          <cell r="Q64">
            <v>0</v>
          </cell>
          <cell r="R64">
            <v>0</v>
          </cell>
          <cell r="S64">
            <v>0</v>
          </cell>
          <cell r="T64">
            <v>0</v>
          </cell>
          <cell r="U64">
            <v>0</v>
          </cell>
          <cell r="V64">
            <v>0</v>
          </cell>
          <cell r="W64">
            <v>0</v>
          </cell>
          <cell r="X64">
            <v>0</v>
          </cell>
          <cell r="Y64">
            <v>0</v>
          </cell>
        </row>
        <row r="65">
          <cell r="J65">
            <v>0</v>
          </cell>
          <cell r="K65">
            <v>0</v>
          </cell>
          <cell r="L65">
            <v>0</v>
          </cell>
          <cell r="M65">
            <v>0</v>
          </cell>
          <cell r="N65">
            <v>0</v>
          </cell>
          <cell r="O65">
            <v>9012.5081022434442</v>
          </cell>
          <cell r="P65">
            <v>4441.6461377565574</v>
          </cell>
          <cell r="Q65">
            <v>0</v>
          </cell>
          <cell r="R65">
            <v>0</v>
          </cell>
          <cell r="S65">
            <v>0</v>
          </cell>
          <cell r="T65">
            <v>0</v>
          </cell>
          <cell r="U65">
            <v>0</v>
          </cell>
          <cell r="V65">
            <v>0</v>
          </cell>
          <cell r="W65">
            <v>0</v>
          </cell>
          <cell r="X65">
            <v>0</v>
          </cell>
          <cell r="Y65">
            <v>0</v>
          </cell>
        </row>
        <row r="66">
          <cell r="J66">
            <v>0</v>
          </cell>
          <cell r="K66">
            <v>0</v>
          </cell>
          <cell r="L66">
            <v>19079.45</v>
          </cell>
          <cell r="N66">
            <v>0</v>
          </cell>
          <cell r="O66">
            <v>0</v>
          </cell>
          <cell r="P66">
            <v>0</v>
          </cell>
          <cell r="Q66">
            <v>0</v>
          </cell>
          <cell r="R66">
            <v>0</v>
          </cell>
          <cell r="S66">
            <v>0</v>
          </cell>
          <cell r="T66">
            <v>0</v>
          </cell>
          <cell r="U66">
            <v>0</v>
          </cell>
          <cell r="V66">
            <v>0</v>
          </cell>
          <cell r="W66">
            <v>0</v>
          </cell>
          <cell r="X66">
            <v>0</v>
          </cell>
          <cell r="Y66">
            <v>0</v>
          </cell>
        </row>
        <row r="67">
          <cell r="J67">
            <v>0</v>
          </cell>
          <cell r="K67">
            <v>0</v>
          </cell>
          <cell r="L67">
            <v>0</v>
          </cell>
          <cell r="M67">
            <v>0</v>
          </cell>
          <cell r="N67">
            <v>0</v>
          </cell>
          <cell r="O67">
            <v>0</v>
          </cell>
          <cell r="P67">
            <v>5541.9</v>
          </cell>
          <cell r="Q67">
            <v>5541.9</v>
          </cell>
          <cell r="R67">
            <v>5541.9</v>
          </cell>
          <cell r="S67">
            <v>5541.9</v>
          </cell>
          <cell r="T67">
            <v>5541.9</v>
          </cell>
          <cell r="U67">
            <v>5541.9</v>
          </cell>
          <cell r="V67">
            <v>5541.9</v>
          </cell>
          <cell r="W67">
            <v>5541.9</v>
          </cell>
          <cell r="X67">
            <v>5541.9</v>
          </cell>
          <cell r="Y67">
            <v>5541.9</v>
          </cell>
        </row>
        <row r="69">
          <cell r="J69">
            <v>0</v>
          </cell>
          <cell r="K69">
            <v>0</v>
          </cell>
          <cell r="L69">
            <v>0</v>
          </cell>
          <cell r="M69">
            <v>0</v>
          </cell>
          <cell r="N69">
            <v>0</v>
          </cell>
          <cell r="O69">
            <v>0</v>
          </cell>
          <cell r="P69">
            <v>2839.1759999999999</v>
          </cell>
          <cell r="Q69">
            <v>2839.1759999999999</v>
          </cell>
          <cell r="R69">
            <v>0</v>
          </cell>
          <cell r="S69">
            <v>0</v>
          </cell>
          <cell r="T69">
            <v>0</v>
          </cell>
          <cell r="U69">
            <v>0</v>
          </cell>
          <cell r="V69">
            <v>0</v>
          </cell>
          <cell r="W69">
            <v>0</v>
          </cell>
          <cell r="X69">
            <v>0</v>
          </cell>
          <cell r="Y69">
            <v>0</v>
          </cell>
        </row>
        <row r="70">
          <cell r="J70">
            <v>0</v>
          </cell>
          <cell r="K70">
            <v>0</v>
          </cell>
          <cell r="L70">
            <v>0</v>
          </cell>
          <cell r="M70">
            <v>0</v>
          </cell>
          <cell r="N70">
            <v>0</v>
          </cell>
          <cell r="O70">
            <v>0</v>
          </cell>
          <cell r="P70">
            <v>0</v>
          </cell>
          <cell r="Q70">
            <v>2214.5869400000001</v>
          </cell>
          <cell r="R70">
            <v>2214.5869400000001</v>
          </cell>
          <cell r="S70">
            <v>2214.5869400000001</v>
          </cell>
          <cell r="T70">
            <v>2214.5869400000001</v>
          </cell>
          <cell r="U70">
            <v>2214.5869400000001</v>
          </cell>
          <cell r="V70">
            <v>0</v>
          </cell>
          <cell r="W70">
            <v>0</v>
          </cell>
          <cell r="X70">
            <v>0</v>
          </cell>
          <cell r="Y70">
            <v>0</v>
          </cell>
        </row>
        <row r="71">
          <cell r="J71">
            <v>0</v>
          </cell>
          <cell r="K71">
            <v>0</v>
          </cell>
          <cell r="L71">
            <v>0</v>
          </cell>
          <cell r="M71">
            <v>0</v>
          </cell>
          <cell r="N71">
            <v>0</v>
          </cell>
          <cell r="O71">
            <v>0</v>
          </cell>
          <cell r="P71">
            <v>0</v>
          </cell>
          <cell r="Q71">
            <v>0</v>
          </cell>
          <cell r="R71">
            <v>2900.3340674286419</v>
          </cell>
          <cell r="S71">
            <v>6272.5356839076285</v>
          </cell>
          <cell r="T71">
            <v>4197.2166216027672</v>
          </cell>
          <cell r="U71">
            <v>5249.1511390596706</v>
          </cell>
          <cell r="V71">
            <v>5818.5119161506354</v>
          </cell>
          <cell r="W71">
            <v>1629.1834759509256</v>
          </cell>
          <cell r="X71">
            <v>3723.8475023997416</v>
          </cell>
          <cell r="Y71">
            <v>0</v>
          </cell>
        </row>
        <row r="72">
          <cell r="J72">
            <v>0</v>
          </cell>
          <cell r="K72">
            <v>0</v>
          </cell>
          <cell r="L72">
            <v>0</v>
          </cell>
          <cell r="M72">
            <v>0</v>
          </cell>
          <cell r="N72">
            <v>0</v>
          </cell>
          <cell r="O72">
            <v>0</v>
          </cell>
          <cell r="P72">
            <v>0</v>
          </cell>
          <cell r="Q72">
            <v>0</v>
          </cell>
          <cell r="R72">
            <v>6352.2326357495376</v>
          </cell>
          <cell r="S72">
            <v>13737.93671828526</v>
          </cell>
          <cell r="T72">
            <v>9192.6294637821011</v>
          </cell>
          <cell r="U72">
            <v>11496.547777021575</v>
          </cell>
          <cell r="V72">
            <v>12743.546235016249</v>
          </cell>
          <cell r="W72">
            <v>3568.193251177594</v>
          </cell>
          <cell r="X72">
            <v>8155.8693189676942</v>
          </cell>
          <cell r="Y72">
            <v>0</v>
          </cell>
        </row>
        <row r="73">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row>
        <row r="74">
          <cell r="J74">
            <v>0</v>
          </cell>
          <cell r="K74">
            <v>0</v>
          </cell>
          <cell r="L74">
            <v>0</v>
          </cell>
          <cell r="M74">
            <v>0</v>
          </cell>
          <cell r="N74">
            <v>0</v>
          </cell>
          <cell r="O74">
            <v>0</v>
          </cell>
          <cell r="P74">
            <v>0</v>
          </cell>
          <cell r="Q74">
            <v>0</v>
          </cell>
          <cell r="R74">
            <v>519.7772801748132</v>
          </cell>
          <cell r="S74">
            <v>1124.1193123906178</v>
          </cell>
          <cell r="T74">
            <v>752.19536410692444</v>
          </cell>
          <cell r="U74">
            <v>940.71559994668974</v>
          </cell>
          <cell r="V74">
            <v>1042.7523961482159</v>
          </cell>
          <cell r="W74">
            <v>291.97069590893074</v>
          </cell>
          <cell r="X74">
            <v>667.36151132380894</v>
          </cell>
          <cell r="Y74">
            <v>0</v>
          </cell>
        </row>
        <row r="75">
          <cell r="J75">
            <v>0</v>
          </cell>
          <cell r="K75">
            <v>0</v>
          </cell>
          <cell r="L75">
            <v>0</v>
          </cell>
          <cell r="M75">
            <v>0</v>
          </cell>
          <cell r="N75">
            <v>0</v>
          </cell>
          <cell r="O75">
            <v>0</v>
          </cell>
          <cell r="P75">
            <v>0</v>
          </cell>
          <cell r="Q75">
            <v>0</v>
          </cell>
          <cell r="R75">
            <v>702.20172653882821</v>
          </cell>
          <cell r="S75">
            <v>1518.6476056261106</v>
          </cell>
          <cell r="T75">
            <v>1016.1907869323211</v>
          </cell>
          <cell r="U75">
            <v>1270.875322296522</v>
          </cell>
          <cell r="V75">
            <v>1408.723622320533</v>
          </cell>
          <cell r="W75">
            <v>394.44264800693213</v>
          </cell>
          <cell r="X75">
            <v>901.58308827875635</v>
          </cell>
          <cell r="Y75">
            <v>0</v>
          </cell>
        </row>
        <row r="76">
          <cell r="J76">
            <v>0</v>
          </cell>
          <cell r="K76">
            <v>0</v>
          </cell>
          <cell r="L76">
            <v>0</v>
          </cell>
          <cell r="M76">
            <v>0</v>
          </cell>
          <cell r="N76">
            <v>0</v>
          </cell>
          <cell r="O76">
            <v>0</v>
          </cell>
          <cell r="P76">
            <v>0</v>
          </cell>
          <cell r="Q76">
            <v>0</v>
          </cell>
          <cell r="R76">
            <v>763.54443154337821</v>
          </cell>
          <cell r="S76">
            <v>1651.3131183370617</v>
          </cell>
          <cell r="T76">
            <v>1104.9628439000335</v>
          </cell>
          <cell r="U76">
            <v>1381.8960262436051</v>
          </cell>
          <cell r="V76">
            <v>1531.7864322382627</v>
          </cell>
          <cell r="W76">
            <v>428.9002377328452</v>
          </cell>
          <cell r="X76">
            <v>980.3432840048157</v>
          </cell>
          <cell r="Y76">
            <v>0</v>
          </cell>
        </row>
        <row r="77">
          <cell r="J77">
            <v>0</v>
          </cell>
          <cell r="K77">
            <v>0</v>
          </cell>
          <cell r="L77">
            <v>0</v>
          </cell>
          <cell r="M77">
            <v>0</v>
          </cell>
          <cell r="N77">
            <v>0</v>
          </cell>
          <cell r="O77">
            <v>0</v>
          </cell>
          <cell r="P77">
            <v>0</v>
          </cell>
          <cell r="Q77">
            <v>0</v>
          </cell>
          <cell r="R77">
            <v>268.33121371860926</v>
          </cell>
          <cell r="S77">
            <v>2254.9345478119785</v>
          </cell>
          <cell r="T77">
            <v>1000.0692384694128</v>
          </cell>
          <cell r="U77">
            <v>0</v>
          </cell>
          <cell r="V77">
            <v>0</v>
          </cell>
          <cell r="W77">
            <v>0</v>
          </cell>
          <cell r="X77">
            <v>0</v>
          </cell>
          <cell r="Y77">
            <v>0</v>
          </cell>
        </row>
        <row r="78">
          <cell r="J78">
            <v>0</v>
          </cell>
          <cell r="K78">
            <v>0</v>
          </cell>
          <cell r="L78">
            <v>0</v>
          </cell>
          <cell r="M78">
            <v>0</v>
          </cell>
          <cell r="N78">
            <v>0</v>
          </cell>
          <cell r="O78">
            <v>0</v>
          </cell>
          <cell r="P78">
            <v>0</v>
          </cell>
          <cell r="Q78">
            <v>0</v>
          </cell>
          <cell r="R78">
            <v>2234.8717770885537</v>
          </cell>
          <cell r="S78">
            <v>18780.854863093522</v>
          </cell>
          <cell r="T78">
            <v>8329.3571598179278</v>
          </cell>
          <cell r="U78">
            <v>0</v>
          </cell>
          <cell r="V78">
            <v>0</v>
          </cell>
          <cell r="W78">
            <v>0</v>
          </cell>
          <cell r="X78">
            <v>0</v>
          </cell>
          <cell r="Y78">
            <v>0</v>
          </cell>
        </row>
        <row r="79">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row>
        <row r="80">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row>
        <row r="81">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row>
        <row r="82">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row>
        <row r="83">
          <cell r="J83">
            <v>0</v>
          </cell>
          <cell r="K83">
            <v>0</v>
          </cell>
          <cell r="L83">
            <v>0</v>
          </cell>
          <cell r="M83">
            <v>0</v>
          </cell>
          <cell r="N83">
            <v>0</v>
          </cell>
          <cell r="O83">
            <v>0</v>
          </cell>
          <cell r="P83">
            <v>0</v>
          </cell>
          <cell r="Q83">
            <v>0</v>
          </cell>
          <cell r="R83">
            <v>0</v>
          </cell>
          <cell r="S83">
            <v>0</v>
          </cell>
          <cell r="T83">
            <v>360472.69776111492</v>
          </cell>
          <cell r="U83">
            <v>153127.86523888502</v>
          </cell>
          <cell r="V83">
            <v>0</v>
          </cell>
          <cell r="W83">
            <v>0</v>
          </cell>
          <cell r="X83">
            <v>0</v>
          </cell>
          <cell r="Y83">
            <v>0</v>
          </cell>
        </row>
        <row r="84">
          <cell r="J84">
            <v>0</v>
          </cell>
          <cell r="K84">
            <v>0</v>
          </cell>
          <cell r="L84">
            <v>0</v>
          </cell>
          <cell r="M84">
            <v>0</v>
          </cell>
          <cell r="N84">
            <v>0</v>
          </cell>
          <cell r="O84">
            <v>0</v>
          </cell>
          <cell r="P84">
            <v>0</v>
          </cell>
          <cell r="Q84">
            <v>0</v>
          </cell>
          <cell r="R84">
            <v>0</v>
          </cell>
          <cell r="S84">
            <v>0</v>
          </cell>
          <cell r="T84">
            <v>108399.90433866462</v>
          </cell>
          <cell r="U84">
            <v>46047.997661335343</v>
          </cell>
          <cell r="V84">
            <v>0</v>
          </cell>
          <cell r="W84">
            <v>0</v>
          </cell>
          <cell r="X84">
            <v>0</v>
          </cell>
          <cell r="Y84">
            <v>0</v>
          </cell>
        </row>
        <row r="85">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row>
        <row r="86">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row>
        <row r="87">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row>
        <row r="88">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row>
        <row r="89">
          <cell r="J89">
            <v>0</v>
          </cell>
          <cell r="K89">
            <v>0</v>
          </cell>
          <cell r="L89">
            <v>0</v>
          </cell>
          <cell r="M89">
            <v>0</v>
          </cell>
          <cell r="N89">
            <v>0</v>
          </cell>
          <cell r="O89">
            <v>0</v>
          </cell>
          <cell r="P89">
            <v>0</v>
          </cell>
          <cell r="Q89">
            <v>0</v>
          </cell>
          <cell r="R89">
            <v>0</v>
          </cell>
          <cell r="S89">
            <v>0</v>
          </cell>
          <cell r="T89">
            <v>0</v>
          </cell>
          <cell r="U89">
            <v>475.6625428571428</v>
          </cell>
          <cell r="V89">
            <v>237.8312714285714</v>
          </cell>
          <cell r="W89">
            <v>92.848348624354941</v>
          </cell>
          <cell r="X89">
            <v>620.64546566135925</v>
          </cell>
          <cell r="Y89">
            <v>237.83127142857148</v>
          </cell>
        </row>
        <row r="90">
          <cell r="J90">
            <v>0</v>
          </cell>
          <cell r="K90">
            <v>0</v>
          </cell>
          <cell r="L90">
            <v>0</v>
          </cell>
          <cell r="M90">
            <v>0</v>
          </cell>
          <cell r="N90">
            <v>0</v>
          </cell>
          <cell r="O90">
            <v>0</v>
          </cell>
          <cell r="P90">
            <v>0</v>
          </cell>
          <cell r="Q90">
            <v>0</v>
          </cell>
          <cell r="R90">
            <v>0</v>
          </cell>
          <cell r="S90">
            <v>0</v>
          </cell>
          <cell r="T90">
            <v>0</v>
          </cell>
          <cell r="U90">
            <v>37857.835200000001</v>
          </cell>
          <cell r="V90">
            <v>18928.917600000001</v>
          </cell>
          <cell r="W90">
            <v>7389.7714537271395</v>
          </cell>
          <cell r="X90">
            <v>49396.981346272863</v>
          </cell>
          <cell r="Y90">
            <v>18928.917600000008</v>
          </cell>
        </row>
        <row r="91">
          <cell r="J91">
            <v>0</v>
          </cell>
          <cell r="K91">
            <v>0</v>
          </cell>
          <cell r="L91">
            <v>0</v>
          </cell>
          <cell r="M91">
            <v>0</v>
          </cell>
          <cell r="N91">
            <v>0</v>
          </cell>
          <cell r="O91">
            <v>0</v>
          </cell>
          <cell r="P91">
            <v>0</v>
          </cell>
          <cell r="Q91">
            <v>0</v>
          </cell>
          <cell r="R91">
            <v>0</v>
          </cell>
          <cell r="S91">
            <v>0</v>
          </cell>
          <cell r="T91">
            <v>0</v>
          </cell>
          <cell r="U91">
            <v>0</v>
          </cell>
          <cell r="V91">
            <v>0</v>
          </cell>
          <cell r="W91">
            <v>0</v>
          </cell>
          <cell r="X91">
            <v>25839.952916060694</v>
          </cell>
          <cell r="Y91">
            <v>34736.57988393931</v>
          </cell>
        </row>
        <row r="92">
          <cell r="J92">
            <v>0</v>
          </cell>
          <cell r="K92">
            <v>0</v>
          </cell>
          <cell r="L92">
            <v>0</v>
          </cell>
          <cell r="M92">
            <v>0</v>
          </cell>
          <cell r="N92">
            <v>0</v>
          </cell>
          <cell r="O92">
            <v>0</v>
          </cell>
          <cell r="P92">
            <v>0</v>
          </cell>
          <cell r="Q92">
            <v>0</v>
          </cell>
          <cell r="R92">
            <v>0</v>
          </cell>
          <cell r="S92">
            <v>0</v>
          </cell>
          <cell r="T92">
            <v>0</v>
          </cell>
          <cell r="U92">
            <v>0</v>
          </cell>
          <cell r="V92">
            <v>0</v>
          </cell>
          <cell r="W92">
            <v>0</v>
          </cell>
          <cell r="X92">
            <v>25873.119500000001</v>
          </cell>
          <cell r="Y92">
            <v>0</v>
          </cell>
        </row>
        <row r="93">
          <cell r="J93">
            <v>0</v>
          </cell>
          <cell r="K93">
            <v>0</v>
          </cell>
          <cell r="L93">
            <v>0</v>
          </cell>
          <cell r="M93">
            <v>0</v>
          </cell>
          <cell r="N93">
            <v>0</v>
          </cell>
          <cell r="O93">
            <v>0</v>
          </cell>
          <cell r="P93">
            <v>0</v>
          </cell>
          <cell r="Q93">
            <v>0</v>
          </cell>
          <cell r="R93">
            <v>0</v>
          </cell>
          <cell r="S93">
            <v>0</v>
          </cell>
          <cell r="T93">
            <v>0</v>
          </cell>
          <cell r="U93">
            <v>3653.5075525284542</v>
          </cell>
          <cell r="V93">
            <v>4769.1124474715443</v>
          </cell>
          <cell r="W93">
            <v>0</v>
          </cell>
          <cell r="X93">
            <v>5615.08</v>
          </cell>
          <cell r="Y93">
            <v>5615.08</v>
          </cell>
        </row>
        <row r="94">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row>
        <row r="95">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row>
        <row r="96">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row>
        <row r="97">
          <cell r="J97">
            <v>0</v>
          </cell>
          <cell r="K97">
            <v>0</v>
          </cell>
          <cell r="L97">
            <v>0</v>
          </cell>
          <cell r="M97">
            <v>0</v>
          </cell>
          <cell r="N97">
            <v>0</v>
          </cell>
          <cell r="O97">
            <v>0</v>
          </cell>
          <cell r="P97">
            <v>0</v>
          </cell>
          <cell r="Q97">
            <v>0</v>
          </cell>
          <cell r="R97">
            <v>0</v>
          </cell>
          <cell r="S97">
            <v>0</v>
          </cell>
          <cell r="T97">
            <v>0</v>
          </cell>
          <cell r="U97">
            <v>0</v>
          </cell>
          <cell r="V97">
            <v>0</v>
          </cell>
          <cell r="W97">
            <v>0</v>
          </cell>
          <cell r="X97">
            <v>8640.8441384151774</v>
          </cell>
          <cell r="Y97">
            <v>11615.863761584824</v>
          </cell>
        </row>
        <row r="98">
          <cell r="J98">
            <v>0</v>
          </cell>
          <cell r="K98">
            <v>0</v>
          </cell>
          <cell r="L98">
            <v>0</v>
          </cell>
          <cell r="M98">
            <v>0</v>
          </cell>
          <cell r="N98">
            <v>0</v>
          </cell>
          <cell r="O98">
            <v>0</v>
          </cell>
          <cell r="P98">
            <v>0</v>
          </cell>
          <cell r="Q98">
            <v>0</v>
          </cell>
          <cell r="R98">
            <v>0</v>
          </cell>
          <cell r="S98">
            <v>0</v>
          </cell>
          <cell r="T98">
            <v>0</v>
          </cell>
          <cell r="U98">
            <v>8048.0250000000015</v>
          </cell>
          <cell r="V98">
            <v>0</v>
          </cell>
          <cell r="W98">
            <v>0</v>
          </cell>
          <cell r="X98">
            <v>0</v>
          </cell>
          <cell r="Y98">
            <v>0</v>
          </cell>
        </row>
        <row r="99">
          <cell r="J99">
            <v>0</v>
          </cell>
          <cell r="K99">
            <v>0</v>
          </cell>
          <cell r="L99">
            <v>0</v>
          </cell>
          <cell r="M99">
            <v>0</v>
          </cell>
          <cell r="N99">
            <v>0</v>
          </cell>
          <cell r="O99">
            <v>0</v>
          </cell>
          <cell r="P99">
            <v>0</v>
          </cell>
          <cell r="Q99">
            <v>0</v>
          </cell>
          <cell r="R99">
            <v>0</v>
          </cell>
          <cell r="S99">
            <v>0</v>
          </cell>
          <cell r="T99">
            <v>0</v>
          </cell>
          <cell r="U99">
            <v>879.78800000000001</v>
          </cell>
          <cell r="V99">
            <v>0</v>
          </cell>
          <cell r="W99">
            <v>0</v>
          </cell>
          <cell r="X99">
            <v>0</v>
          </cell>
          <cell r="Y99">
            <v>0</v>
          </cell>
        </row>
        <row r="100">
          <cell r="J100">
            <v>0</v>
          </cell>
          <cell r="K100">
            <v>0</v>
          </cell>
          <cell r="L100">
            <v>0</v>
          </cell>
          <cell r="M100">
            <v>0</v>
          </cell>
          <cell r="N100">
            <v>0</v>
          </cell>
          <cell r="O100">
            <v>0</v>
          </cell>
          <cell r="P100">
            <v>0</v>
          </cell>
          <cell r="Q100">
            <v>0</v>
          </cell>
          <cell r="R100">
            <v>0</v>
          </cell>
          <cell r="S100">
            <v>0</v>
          </cell>
          <cell r="T100">
            <v>0</v>
          </cell>
          <cell r="U100">
            <v>9195.0750000000025</v>
          </cell>
          <cell r="V100">
            <v>0</v>
          </cell>
          <cell r="W100">
            <v>0</v>
          </cell>
          <cell r="X100">
            <v>0</v>
          </cell>
          <cell r="Y100">
            <v>0</v>
          </cell>
        </row>
        <row r="101">
          <cell r="J101">
            <v>0</v>
          </cell>
          <cell r="K101">
            <v>0</v>
          </cell>
          <cell r="L101">
            <v>0</v>
          </cell>
          <cell r="M101">
            <v>0</v>
          </cell>
          <cell r="N101">
            <v>0</v>
          </cell>
          <cell r="O101">
            <v>0</v>
          </cell>
          <cell r="P101">
            <v>0</v>
          </cell>
          <cell r="Q101">
            <v>0</v>
          </cell>
          <cell r="R101">
            <v>0</v>
          </cell>
          <cell r="S101">
            <v>0</v>
          </cell>
          <cell r="T101">
            <v>0</v>
          </cell>
          <cell r="U101">
            <v>10352.973333333335</v>
          </cell>
          <cell r="V101">
            <v>0</v>
          </cell>
          <cell r="W101">
            <v>0</v>
          </cell>
          <cell r="X101">
            <v>0</v>
          </cell>
          <cell r="Y101">
            <v>0</v>
          </cell>
        </row>
        <row r="102">
          <cell r="J102">
            <v>0</v>
          </cell>
          <cell r="K102">
            <v>0</v>
          </cell>
          <cell r="L102">
            <v>0</v>
          </cell>
          <cell r="M102">
            <v>0</v>
          </cell>
          <cell r="N102">
            <v>0</v>
          </cell>
          <cell r="O102">
            <v>0</v>
          </cell>
          <cell r="P102">
            <v>0</v>
          </cell>
          <cell r="Q102">
            <v>0</v>
          </cell>
          <cell r="R102">
            <v>0</v>
          </cell>
          <cell r="S102">
            <v>0</v>
          </cell>
          <cell r="T102">
            <v>0</v>
          </cell>
          <cell r="U102">
            <v>10216.5</v>
          </cell>
          <cell r="V102">
            <v>0</v>
          </cell>
          <cell r="W102">
            <v>0</v>
          </cell>
          <cell r="X102">
            <v>0</v>
          </cell>
          <cell r="Y102">
            <v>0</v>
          </cell>
        </row>
        <row r="103">
          <cell r="J103">
            <v>0</v>
          </cell>
          <cell r="K103">
            <v>0</v>
          </cell>
          <cell r="L103">
            <v>0</v>
          </cell>
          <cell r="M103">
            <v>0</v>
          </cell>
          <cell r="N103">
            <v>0</v>
          </cell>
          <cell r="O103">
            <v>0</v>
          </cell>
          <cell r="P103">
            <v>0</v>
          </cell>
          <cell r="Q103">
            <v>0</v>
          </cell>
          <cell r="R103">
            <v>0</v>
          </cell>
          <cell r="S103">
            <v>0</v>
          </cell>
          <cell r="T103">
            <v>0</v>
          </cell>
          <cell r="U103">
            <v>6720.2203112490643</v>
          </cell>
          <cell r="V103">
            <v>8772.2512887509347</v>
          </cell>
          <cell r="W103">
            <v>0</v>
          </cell>
          <cell r="X103">
            <v>10328.314399999999</v>
          </cell>
          <cell r="Y103">
            <v>10328.314399999999</v>
          </cell>
        </row>
        <row r="104">
          <cell r="J104">
            <v>0</v>
          </cell>
          <cell r="K104">
            <v>0</v>
          </cell>
          <cell r="L104">
            <v>0</v>
          </cell>
          <cell r="M104">
            <v>0</v>
          </cell>
          <cell r="N104">
            <v>0</v>
          </cell>
          <cell r="O104">
            <v>0</v>
          </cell>
          <cell r="P104">
            <v>0</v>
          </cell>
          <cell r="Q104">
            <v>0</v>
          </cell>
          <cell r="R104">
            <v>0</v>
          </cell>
          <cell r="S104">
            <v>0</v>
          </cell>
          <cell r="T104">
            <v>0</v>
          </cell>
          <cell r="U104">
            <v>0</v>
          </cell>
          <cell r="V104">
            <v>5918.2622683509098</v>
          </cell>
          <cell r="W104">
            <v>2514.0624316490894</v>
          </cell>
          <cell r="X104">
            <v>0</v>
          </cell>
          <cell r="Y104">
            <v>0</v>
          </cell>
        </row>
        <row r="105">
          <cell r="J105">
            <v>0</v>
          </cell>
          <cell r="K105">
            <v>0</v>
          </cell>
          <cell r="L105">
            <v>0</v>
          </cell>
          <cell r="M105">
            <v>0</v>
          </cell>
          <cell r="N105">
            <v>0</v>
          </cell>
          <cell r="O105">
            <v>0</v>
          </cell>
          <cell r="P105">
            <v>0</v>
          </cell>
          <cell r="Q105">
            <v>0</v>
          </cell>
          <cell r="R105">
            <v>0</v>
          </cell>
          <cell r="S105">
            <v>0</v>
          </cell>
          <cell r="T105">
            <v>0</v>
          </cell>
          <cell r="U105">
            <v>17567.010002708124</v>
          </cell>
          <cell r="V105">
            <v>7462.4201972918772</v>
          </cell>
          <cell r="W105">
            <v>0</v>
          </cell>
          <cell r="X105">
            <v>0</v>
          </cell>
          <cell r="Y105">
            <v>0</v>
          </cell>
        </row>
        <row r="106">
          <cell r="J106">
            <v>0</v>
          </cell>
          <cell r="K106">
            <v>0</v>
          </cell>
          <cell r="L106">
            <v>0</v>
          </cell>
          <cell r="M106">
            <v>0</v>
          </cell>
          <cell r="N106">
            <v>0</v>
          </cell>
          <cell r="O106">
            <v>0</v>
          </cell>
          <cell r="P106">
            <v>0</v>
          </cell>
          <cell r="Q106">
            <v>0</v>
          </cell>
          <cell r="R106">
            <v>0</v>
          </cell>
          <cell r="S106">
            <v>0</v>
          </cell>
          <cell r="T106">
            <v>0</v>
          </cell>
          <cell r="U106">
            <v>103558.13392707131</v>
          </cell>
          <cell r="V106">
            <v>43991.226172928706</v>
          </cell>
          <cell r="W106">
            <v>0</v>
          </cell>
          <cell r="X106">
            <v>0</v>
          </cell>
          <cell r="Y106">
            <v>0</v>
          </cell>
        </row>
        <row r="107">
          <cell r="J107">
            <v>0</v>
          </cell>
          <cell r="K107">
            <v>0</v>
          </cell>
          <cell r="L107">
            <v>0</v>
          </cell>
          <cell r="M107">
            <v>0</v>
          </cell>
          <cell r="N107">
            <v>0</v>
          </cell>
          <cell r="O107">
            <v>0</v>
          </cell>
          <cell r="P107">
            <v>0</v>
          </cell>
          <cell r="Q107">
            <v>0</v>
          </cell>
          <cell r="R107">
            <v>0</v>
          </cell>
          <cell r="S107">
            <v>0</v>
          </cell>
          <cell r="T107">
            <v>26212.947656795535</v>
          </cell>
          <cell r="U107">
            <v>28634.529371775894</v>
          </cell>
          <cell r="V107">
            <v>20118.782696512561</v>
          </cell>
          <cell r="W107">
            <v>30665.917691870214</v>
          </cell>
          <cell r="X107">
            <v>10156.941600471624</v>
          </cell>
          <cell r="Y107">
            <v>12188.327382574167</v>
          </cell>
        </row>
        <row r="108">
          <cell r="J108">
            <v>0</v>
          </cell>
          <cell r="K108">
            <v>0</v>
          </cell>
          <cell r="L108">
            <v>0</v>
          </cell>
          <cell r="M108">
            <v>0</v>
          </cell>
          <cell r="N108">
            <v>0</v>
          </cell>
          <cell r="O108">
            <v>0</v>
          </cell>
          <cell r="P108">
            <v>0</v>
          </cell>
          <cell r="Q108">
            <v>0</v>
          </cell>
          <cell r="R108">
            <v>0</v>
          </cell>
          <cell r="S108">
            <v>0</v>
          </cell>
          <cell r="T108">
            <v>0</v>
          </cell>
          <cell r="U108">
            <v>5368.5258435241112</v>
          </cell>
          <cell r="V108">
            <v>2749.2339850473168</v>
          </cell>
          <cell r="W108">
            <v>4015.5658720955403</v>
          </cell>
          <cell r="X108">
            <v>4102.1939564758877</v>
          </cell>
          <cell r="Y108">
            <v>2705.9199428571428</v>
          </cell>
        </row>
        <row r="109">
          <cell r="J109">
            <v>0</v>
          </cell>
          <cell r="K109">
            <v>0</v>
          </cell>
          <cell r="L109">
            <v>0</v>
          </cell>
          <cell r="M109">
            <v>0</v>
          </cell>
          <cell r="N109">
            <v>0</v>
          </cell>
          <cell r="O109">
            <v>0</v>
          </cell>
          <cell r="P109">
            <v>31586.603989498162</v>
          </cell>
          <cell r="Q109">
            <v>33161.788799999995</v>
          </cell>
          <cell r="R109">
            <v>18156.079210501826</v>
          </cell>
          <cell r="S109">
            <v>0</v>
          </cell>
          <cell r="T109">
            <v>0</v>
          </cell>
          <cell r="U109">
            <v>0</v>
          </cell>
          <cell r="V109">
            <v>0</v>
          </cell>
          <cell r="W109">
            <v>0</v>
          </cell>
          <cell r="X109">
            <v>0</v>
          </cell>
          <cell r="Y109">
            <v>0</v>
          </cell>
        </row>
        <row r="110">
          <cell r="J110">
            <v>0</v>
          </cell>
          <cell r="K110">
            <v>0</v>
          </cell>
          <cell r="L110">
            <v>0</v>
          </cell>
          <cell r="M110">
            <v>0</v>
          </cell>
          <cell r="N110">
            <v>0</v>
          </cell>
          <cell r="O110">
            <v>0</v>
          </cell>
          <cell r="P110">
            <v>902994.36823334033</v>
          </cell>
          <cell r="Q110">
            <v>948025.57871999999</v>
          </cell>
          <cell r="R110">
            <v>519043.9998466596</v>
          </cell>
          <cell r="S110">
            <v>0</v>
          </cell>
          <cell r="T110">
            <v>0</v>
          </cell>
          <cell r="U110">
            <v>0</v>
          </cell>
          <cell r="V110">
            <v>0</v>
          </cell>
          <cell r="W110">
            <v>0</v>
          </cell>
          <cell r="X110">
            <v>0</v>
          </cell>
          <cell r="Y110">
            <v>0</v>
          </cell>
        </row>
        <row r="111">
          <cell r="J111">
            <v>0</v>
          </cell>
          <cell r="K111">
            <v>0</v>
          </cell>
          <cell r="L111">
            <v>0</v>
          </cell>
          <cell r="M111">
            <v>0</v>
          </cell>
          <cell r="N111">
            <v>0</v>
          </cell>
          <cell r="O111">
            <v>0</v>
          </cell>
          <cell r="P111">
            <v>0</v>
          </cell>
          <cell r="Q111">
            <v>0</v>
          </cell>
          <cell r="R111">
            <v>228169.13158552119</v>
          </cell>
          <cell r="S111">
            <v>321833.22961447889</v>
          </cell>
          <cell r="T111">
            <v>0</v>
          </cell>
          <cell r="U111">
            <v>0</v>
          </cell>
          <cell r="V111">
            <v>0</v>
          </cell>
          <cell r="W111">
            <v>0</v>
          </cell>
          <cell r="X111">
            <v>0</v>
          </cell>
          <cell r="Y111">
            <v>0</v>
          </cell>
        </row>
        <row r="112">
          <cell r="J112">
            <v>0</v>
          </cell>
          <cell r="K112">
            <v>0</v>
          </cell>
          <cell r="L112">
            <v>0</v>
          </cell>
          <cell r="M112">
            <v>0</v>
          </cell>
          <cell r="N112">
            <v>0</v>
          </cell>
          <cell r="O112">
            <v>15248.008772230125</v>
          </cell>
          <cell r="P112">
            <v>16008.408080000003</v>
          </cell>
          <cell r="Q112">
            <v>8764.6033477698747</v>
          </cell>
          <cell r="R112">
            <v>0</v>
          </cell>
          <cell r="S112">
            <v>0</v>
          </cell>
          <cell r="T112">
            <v>0</v>
          </cell>
          <cell r="U112">
            <v>0</v>
          </cell>
          <cell r="V112">
            <v>0</v>
          </cell>
          <cell r="W112">
            <v>0</v>
          </cell>
          <cell r="X112">
            <v>0</v>
          </cell>
          <cell r="Y112">
            <v>0</v>
          </cell>
        </row>
        <row r="113">
          <cell r="J113">
            <v>0</v>
          </cell>
          <cell r="K113">
            <v>0</v>
          </cell>
          <cell r="L113">
            <v>0</v>
          </cell>
          <cell r="M113">
            <v>0</v>
          </cell>
          <cell r="N113">
            <v>0</v>
          </cell>
          <cell r="O113">
            <v>10895.564115327821</v>
          </cell>
          <cell r="P113">
            <v>11438.912400000001</v>
          </cell>
          <cell r="Q113">
            <v>6262.8044846721778</v>
          </cell>
          <cell r="R113">
            <v>0</v>
          </cell>
          <cell r="S113">
            <v>0</v>
          </cell>
          <cell r="T113">
            <v>0</v>
          </cell>
          <cell r="U113">
            <v>0</v>
          </cell>
          <cell r="V113">
            <v>0</v>
          </cell>
          <cell r="W113">
            <v>0</v>
          </cell>
          <cell r="X113">
            <v>0</v>
          </cell>
          <cell r="Y113">
            <v>0</v>
          </cell>
        </row>
        <row r="114">
          <cell r="J114">
            <v>0</v>
          </cell>
          <cell r="K114">
            <v>0</v>
          </cell>
          <cell r="L114">
            <v>0</v>
          </cell>
          <cell r="M114">
            <v>0</v>
          </cell>
          <cell r="N114">
            <v>0</v>
          </cell>
          <cell r="O114">
            <v>43203.451171822475</v>
          </cell>
          <cell r="P114">
            <v>45357.953760000004</v>
          </cell>
          <cell r="Q114">
            <v>24833.47946817752</v>
          </cell>
          <cell r="R114">
            <v>0</v>
          </cell>
          <cell r="S114">
            <v>0</v>
          </cell>
          <cell r="T114">
            <v>0</v>
          </cell>
          <cell r="U114">
            <v>0</v>
          </cell>
          <cell r="V114">
            <v>0</v>
          </cell>
          <cell r="W114">
            <v>0</v>
          </cell>
          <cell r="X114">
            <v>0</v>
          </cell>
          <cell r="Y114">
            <v>0</v>
          </cell>
        </row>
        <row r="115">
          <cell r="J115">
            <v>0</v>
          </cell>
          <cell r="K115">
            <v>0</v>
          </cell>
          <cell r="L115">
            <v>0</v>
          </cell>
          <cell r="M115">
            <v>0</v>
          </cell>
          <cell r="N115">
            <v>0</v>
          </cell>
          <cell r="O115">
            <v>35578.99099540514</v>
          </cell>
          <cell r="P115">
            <v>37353.271200000003</v>
          </cell>
          <cell r="Q115">
            <v>20450.915804594857</v>
          </cell>
          <cell r="R115">
            <v>0</v>
          </cell>
          <cell r="S115">
            <v>0</v>
          </cell>
          <cell r="T115">
            <v>0</v>
          </cell>
          <cell r="U115">
            <v>0</v>
          </cell>
          <cell r="V115">
            <v>0</v>
          </cell>
          <cell r="W115">
            <v>0</v>
          </cell>
          <cell r="X115">
            <v>0</v>
          </cell>
          <cell r="Y115">
            <v>0</v>
          </cell>
        </row>
        <row r="116">
          <cell r="J116">
            <v>0</v>
          </cell>
          <cell r="K116">
            <v>0</v>
          </cell>
          <cell r="L116">
            <v>0</v>
          </cell>
          <cell r="M116">
            <v>0</v>
          </cell>
          <cell r="N116">
            <v>0</v>
          </cell>
          <cell r="O116">
            <v>0</v>
          </cell>
          <cell r="P116">
            <v>4712.8238499999998</v>
          </cell>
          <cell r="Q116">
            <v>4712.8238499999998</v>
          </cell>
          <cell r="R116">
            <v>4712.8238499999998</v>
          </cell>
          <cell r="S116">
            <v>4712.8238499999998</v>
          </cell>
          <cell r="T116">
            <v>0</v>
          </cell>
          <cell r="U116">
            <v>0</v>
          </cell>
          <cell r="V116">
            <v>0</v>
          </cell>
          <cell r="W116">
            <v>0</v>
          </cell>
          <cell r="X116">
            <v>0</v>
          </cell>
          <cell r="Y116">
            <v>0</v>
          </cell>
        </row>
        <row r="117">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row>
        <row r="118">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row>
        <row r="119">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row>
        <row r="122">
          <cell r="J122">
            <v>0</v>
          </cell>
          <cell r="K122">
            <v>0</v>
          </cell>
          <cell r="L122">
            <v>0</v>
          </cell>
          <cell r="M122">
            <v>0</v>
          </cell>
          <cell r="N122">
            <v>0</v>
          </cell>
          <cell r="O122">
            <v>0</v>
          </cell>
          <cell r="P122">
            <v>0</v>
          </cell>
          <cell r="Q122">
            <v>0</v>
          </cell>
          <cell r="R122">
            <v>235916.46</v>
          </cell>
          <cell r="S122">
            <v>0</v>
          </cell>
          <cell r="T122">
            <v>0</v>
          </cell>
          <cell r="U122">
            <v>0</v>
          </cell>
          <cell r="V122">
            <v>0</v>
          </cell>
          <cell r="W122">
            <v>0</v>
          </cell>
          <cell r="X122">
            <v>0</v>
          </cell>
          <cell r="Y122">
            <v>0</v>
          </cell>
        </row>
        <row r="123">
          <cell r="J123">
            <v>0</v>
          </cell>
          <cell r="K123">
            <v>0</v>
          </cell>
          <cell r="L123">
            <v>0</v>
          </cell>
          <cell r="M123">
            <v>0</v>
          </cell>
          <cell r="N123">
            <v>0</v>
          </cell>
          <cell r="O123">
            <v>0</v>
          </cell>
          <cell r="P123">
            <v>0</v>
          </cell>
          <cell r="Q123">
            <v>0</v>
          </cell>
          <cell r="R123">
            <v>0</v>
          </cell>
          <cell r="S123">
            <v>13515.099</v>
          </cell>
          <cell r="T123">
            <v>0</v>
          </cell>
          <cell r="U123">
            <v>0</v>
          </cell>
          <cell r="V123">
            <v>0</v>
          </cell>
          <cell r="W123">
            <v>0</v>
          </cell>
          <cell r="X123">
            <v>0</v>
          </cell>
          <cell r="Y123">
            <v>0</v>
          </cell>
        </row>
        <row r="124">
          <cell r="J124">
            <v>0</v>
          </cell>
          <cell r="K124">
            <v>0</v>
          </cell>
          <cell r="L124">
            <v>0</v>
          </cell>
          <cell r="M124">
            <v>0</v>
          </cell>
          <cell r="N124">
            <v>0</v>
          </cell>
          <cell r="O124">
            <v>0</v>
          </cell>
          <cell r="P124">
            <v>0</v>
          </cell>
          <cell r="Q124">
            <v>0</v>
          </cell>
          <cell r="R124">
            <v>0</v>
          </cell>
          <cell r="S124">
            <v>1837.7940000000001</v>
          </cell>
          <cell r="T124">
            <v>0</v>
          </cell>
          <cell r="U124">
            <v>0</v>
          </cell>
          <cell r="V124">
            <v>0</v>
          </cell>
          <cell r="W124">
            <v>0</v>
          </cell>
          <cell r="X124">
            <v>0</v>
          </cell>
          <cell r="Y124">
            <v>0</v>
          </cell>
        </row>
        <row r="125">
          <cell r="J125">
            <v>0</v>
          </cell>
          <cell r="K125">
            <v>0</v>
          </cell>
          <cell r="L125">
            <v>0</v>
          </cell>
          <cell r="M125">
            <v>0</v>
          </cell>
          <cell r="N125">
            <v>0</v>
          </cell>
          <cell r="O125">
            <v>0</v>
          </cell>
          <cell r="P125">
            <v>0</v>
          </cell>
          <cell r="Q125">
            <v>0</v>
          </cell>
          <cell r="R125">
            <v>0</v>
          </cell>
          <cell r="S125">
            <v>0</v>
          </cell>
          <cell r="T125">
            <v>4944.9135671526437</v>
          </cell>
          <cell r="U125">
            <v>2100.5864328473576</v>
          </cell>
          <cell r="V125">
            <v>0</v>
          </cell>
          <cell r="W125">
            <v>0</v>
          </cell>
          <cell r="X125">
            <v>0</v>
          </cell>
          <cell r="Y125">
            <v>0</v>
          </cell>
        </row>
        <row r="127">
          <cell r="J127">
            <v>0</v>
          </cell>
          <cell r="K127">
            <v>0</v>
          </cell>
          <cell r="L127">
            <v>0</v>
          </cell>
          <cell r="M127">
            <v>0</v>
          </cell>
          <cell r="N127">
            <v>0</v>
          </cell>
          <cell r="O127">
            <v>37224.651081380311</v>
          </cell>
          <cell r="P127">
            <v>219802.71886864939</v>
          </cell>
          <cell r="Q127">
            <v>212712.30339044239</v>
          </cell>
          <cell r="R127">
            <v>219802.71886864939</v>
          </cell>
          <cell r="S127">
            <v>212712.30339044239</v>
          </cell>
          <cell r="T127">
            <v>161306.82940043643</v>
          </cell>
          <cell r="U127">
            <v>0</v>
          </cell>
          <cell r="V127">
            <v>0</v>
          </cell>
          <cell r="W127">
            <v>0</v>
          </cell>
          <cell r="X127">
            <v>0</v>
          </cell>
          <cell r="Y127">
            <v>0</v>
          </cell>
        </row>
        <row r="128">
          <cell r="J128">
            <v>0</v>
          </cell>
          <cell r="K128">
            <v>0</v>
          </cell>
          <cell r="L128">
            <v>0</v>
          </cell>
          <cell r="M128">
            <v>0</v>
          </cell>
          <cell r="N128">
            <v>0</v>
          </cell>
          <cell r="O128">
            <v>0</v>
          </cell>
          <cell r="P128">
            <v>0</v>
          </cell>
          <cell r="Q128">
            <v>0</v>
          </cell>
          <cell r="R128">
            <v>0</v>
          </cell>
          <cell r="S128">
            <v>0</v>
          </cell>
          <cell r="T128">
            <v>0</v>
          </cell>
          <cell r="U128">
            <v>203872.73599999998</v>
          </cell>
          <cell r="V128">
            <v>0</v>
          </cell>
          <cell r="W128">
            <v>0</v>
          </cell>
          <cell r="X128">
            <v>0</v>
          </cell>
          <cell r="Y128">
            <v>0</v>
          </cell>
        </row>
        <row r="129">
          <cell r="J129">
            <v>0</v>
          </cell>
          <cell r="K129">
            <v>0</v>
          </cell>
          <cell r="L129">
            <v>0</v>
          </cell>
          <cell r="M129">
            <v>0</v>
          </cell>
          <cell r="N129">
            <v>0</v>
          </cell>
          <cell r="O129">
            <v>0</v>
          </cell>
          <cell r="P129">
            <v>0</v>
          </cell>
          <cell r="Q129">
            <v>0</v>
          </cell>
          <cell r="R129">
            <v>0</v>
          </cell>
          <cell r="S129">
            <v>0</v>
          </cell>
          <cell r="T129">
            <v>0</v>
          </cell>
          <cell r="U129">
            <v>50373.519000000008</v>
          </cell>
          <cell r="V129">
            <v>0</v>
          </cell>
          <cell r="W129">
            <v>0</v>
          </cell>
          <cell r="X129">
            <v>0</v>
          </cell>
          <cell r="Y129">
            <v>0</v>
          </cell>
        </row>
        <row r="130">
          <cell r="J130">
            <v>0</v>
          </cell>
          <cell r="K130">
            <v>0</v>
          </cell>
          <cell r="L130">
            <v>0</v>
          </cell>
          <cell r="M130">
            <v>0</v>
          </cell>
          <cell r="N130">
            <v>0</v>
          </cell>
          <cell r="O130">
            <v>0</v>
          </cell>
          <cell r="P130">
            <v>0</v>
          </cell>
          <cell r="Q130">
            <v>0</v>
          </cell>
          <cell r="R130">
            <v>0</v>
          </cell>
          <cell r="S130">
            <v>0</v>
          </cell>
          <cell r="T130">
            <v>0</v>
          </cell>
          <cell r="U130">
            <v>0</v>
          </cell>
          <cell r="V130">
            <v>74735.625503556992</v>
          </cell>
          <cell r="W130">
            <v>31747.499496443012</v>
          </cell>
          <cell r="X130">
            <v>0</v>
          </cell>
          <cell r="Y130">
            <v>0</v>
          </cell>
        </row>
        <row r="132">
          <cell r="J132">
            <v>0</v>
          </cell>
          <cell r="K132">
            <v>0</v>
          </cell>
          <cell r="L132">
            <v>0</v>
          </cell>
          <cell r="M132">
            <v>0</v>
          </cell>
          <cell r="N132">
            <v>0</v>
          </cell>
          <cell r="O132">
            <v>0</v>
          </cell>
          <cell r="P132">
            <v>0</v>
          </cell>
          <cell r="Q132">
            <v>150068.31592595359</v>
          </cell>
          <cell r="R132">
            <v>59477.969074046385</v>
          </cell>
          <cell r="S132">
            <v>0</v>
          </cell>
          <cell r="T132">
            <v>0</v>
          </cell>
          <cell r="U132">
            <v>0</v>
          </cell>
          <cell r="V132">
            <v>0</v>
          </cell>
          <cell r="W132">
            <v>0</v>
          </cell>
          <cell r="X132">
            <v>0</v>
          </cell>
          <cell r="Y132">
            <v>0</v>
          </cell>
        </row>
        <row r="133">
          <cell r="J133">
            <v>0</v>
          </cell>
          <cell r="K133">
            <v>0</v>
          </cell>
          <cell r="L133">
            <v>0</v>
          </cell>
          <cell r="M133">
            <v>0</v>
          </cell>
          <cell r="N133">
            <v>0</v>
          </cell>
          <cell r="O133">
            <v>0</v>
          </cell>
          <cell r="P133">
            <v>0</v>
          </cell>
          <cell r="Q133">
            <v>0</v>
          </cell>
          <cell r="R133">
            <v>0</v>
          </cell>
          <cell r="S133">
            <v>7250.7039999999997</v>
          </cell>
          <cell r="T133">
            <v>0</v>
          </cell>
          <cell r="U133">
            <v>0</v>
          </cell>
          <cell r="V133">
            <v>0</v>
          </cell>
          <cell r="W133">
            <v>0</v>
          </cell>
          <cell r="X133">
            <v>0</v>
          </cell>
          <cell r="Y133">
            <v>0</v>
          </cell>
        </row>
        <row r="134">
          <cell r="J134">
            <v>0</v>
          </cell>
          <cell r="K134">
            <v>0</v>
          </cell>
          <cell r="L134">
            <v>0</v>
          </cell>
          <cell r="M134">
            <v>0</v>
          </cell>
          <cell r="N134">
            <v>0</v>
          </cell>
          <cell r="O134">
            <v>0</v>
          </cell>
          <cell r="P134">
            <v>0</v>
          </cell>
          <cell r="Q134">
            <v>0</v>
          </cell>
          <cell r="R134">
            <v>0</v>
          </cell>
          <cell r="S134">
            <v>985.68399999999997</v>
          </cell>
          <cell r="T134">
            <v>0</v>
          </cell>
          <cell r="U134">
            <v>0</v>
          </cell>
          <cell r="V134">
            <v>0</v>
          </cell>
          <cell r="W134">
            <v>0</v>
          </cell>
          <cell r="X134">
            <v>0</v>
          </cell>
          <cell r="Y134">
            <v>0</v>
          </cell>
        </row>
        <row r="135">
          <cell r="J135">
            <v>0</v>
          </cell>
          <cell r="K135">
            <v>0</v>
          </cell>
          <cell r="L135">
            <v>0</v>
          </cell>
          <cell r="M135">
            <v>0</v>
          </cell>
          <cell r="N135">
            <v>0</v>
          </cell>
          <cell r="O135">
            <v>0</v>
          </cell>
          <cell r="P135">
            <v>3843</v>
          </cell>
          <cell r="Q135">
            <v>0</v>
          </cell>
          <cell r="R135">
            <v>0</v>
          </cell>
          <cell r="S135">
            <v>0</v>
          </cell>
          <cell r="T135">
            <v>0</v>
          </cell>
          <cell r="U135">
            <v>0</v>
          </cell>
          <cell r="V135">
            <v>0</v>
          </cell>
          <cell r="W135">
            <v>0</v>
          </cell>
          <cell r="X135">
            <v>0</v>
          </cell>
          <cell r="Y135">
            <v>0</v>
          </cell>
        </row>
        <row r="137">
          <cell r="J137">
            <v>0</v>
          </cell>
          <cell r="K137">
            <v>0</v>
          </cell>
          <cell r="L137">
            <v>0</v>
          </cell>
          <cell r="M137">
            <v>0</v>
          </cell>
          <cell r="N137">
            <v>0</v>
          </cell>
          <cell r="O137">
            <v>0</v>
          </cell>
          <cell r="P137">
            <v>10812.6304</v>
          </cell>
          <cell r="Q137">
            <v>0</v>
          </cell>
          <cell r="R137">
            <v>0</v>
          </cell>
          <cell r="S137">
            <v>0</v>
          </cell>
          <cell r="T137">
            <v>0</v>
          </cell>
          <cell r="U137">
            <v>0</v>
          </cell>
          <cell r="V137">
            <v>0</v>
          </cell>
          <cell r="W137">
            <v>0</v>
          </cell>
          <cell r="X137">
            <v>0</v>
          </cell>
          <cell r="Y137">
            <v>0</v>
          </cell>
        </row>
        <row r="138">
          <cell r="J138">
            <v>0</v>
          </cell>
          <cell r="K138">
            <v>0</v>
          </cell>
          <cell r="L138">
            <v>0</v>
          </cell>
          <cell r="M138">
            <v>0</v>
          </cell>
          <cell r="N138">
            <v>0</v>
          </cell>
          <cell r="O138">
            <v>0</v>
          </cell>
          <cell r="P138">
            <v>0</v>
          </cell>
          <cell r="Q138">
            <v>938.47800000000007</v>
          </cell>
          <cell r="R138">
            <v>0</v>
          </cell>
          <cell r="S138">
            <v>0</v>
          </cell>
          <cell r="T138">
            <v>0</v>
          </cell>
          <cell r="U138">
            <v>0</v>
          </cell>
          <cell r="V138">
            <v>0</v>
          </cell>
          <cell r="W138">
            <v>0</v>
          </cell>
          <cell r="X138">
            <v>0</v>
          </cell>
          <cell r="Y138">
            <v>0</v>
          </cell>
        </row>
        <row r="139">
          <cell r="J139">
            <v>0</v>
          </cell>
          <cell r="K139">
            <v>0</v>
          </cell>
          <cell r="L139">
            <v>0</v>
          </cell>
          <cell r="M139">
            <v>0</v>
          </cell>
          <cell r="N139">
            <v>0</v>
          </cell>
          <cell r="O139">
            <v>0</v>
          </cell>
          <cell r="P139">
            <v>3298.6800000000003</v>
          </cell>
          <cell r="Q139">
            <v>0</v>
          </cell>
          <cell r="R139">
            <v>0</v>
          </cell>
          <cell r="S139">
            <v>0</v>
          </cell>
          <cell r="T139">
            <v>0</v>
          </cell>
          <cell r="U139">
            <v>0</v>
          </cell>
          <cell r="V139">
            <v>0</v>
          </cell>
          <cell r="W139">
            <v>0</v>
          </cell>
          <cell r="X139">
            <v>0</v>
          </cell>
          <cell r="Y139">
            <v>0</v>
          </cell>
        </row>
        <row r="140">
          <cell r="J140">
            <v>0</v>
          </cell>
          <cell r="K140">
            <v>0</v>
          </cell>
          <cell r="L140">
            <v>0</v>
          </cell>
          <cell r="M140">
            <v>0</v>
          </cell>
          <cell r="N140">
            <v>0</v>
          </cell>
          <cell r="O140">
            <v>0</v>
          </cell>
          <cell r="P140">
            <v>32993.884400000003</v>
          </cell>
          <cell r="Q140">
            <v>0</v>
          </cell>
          <cell r="R140">
            <v>0</v>
          </cell>
          <cell r="S140">
            <v>0</v>
          </cell>
          <cell r="T140">
            <v>0</v>
          </cell>
          <cell r="U140">
            <v>0</v>
          </cell>
          <cell r="V140">
            <v>0</v>
          </cell>
          <cell r="W140">
            <v>0</v>
          </cell>
          <cell r="X140">
            <v>0</v>
          </cell>
          <cell r="Y140">
            <v>0</v>
          </cell>
        </row>
        <row r="141">
          <cell r="J141">
            <v>0</v>
          </cell>
          <cell r="K141">
            <v>0</v>
          </cell>
          <cell r="L141">
            <v>0</v>
          </cell>
          <cell r="M141">
            <v>0</v>
          </cell>
          <cell r="N141">
            <v>0</v>
          </cell>
          <cell r="O141">
            <v>0</v>
          </cell>
          <cell r="P141">
            <v>5508.58</v>
          </cell>
          <cell r="Q141">
            <v>0</v>
          </cell>
          <cell r="R141">
            <v>0</v>
          </cell>
          <cell r="S141">
            <v>0</v>
          </cell>
          <cell r="T141">
            <v>0</v>
          </cell>
          <cell r="U141">
            <v>0</v>
          </cell>
          <cell r="V141">
            <v>0</v>
          </cell>
          <cell r="W141">
            <v>0</v>
          </cell>
          <cell r="X141">
            <v>0</v>
          </cell>
          <cell r="Y141">
            <v>0</v>
          </cell>
        </row>
        <row r="142">
          <cell r="J142">
            <v>0</v>
          </cell>
          <cell r="K142">
            <v>0</v>
          </cell>
          <cell r="L142">
            <v>0</v>
          </cell>
          <cell r="M142">
            <v>0</v>
          </cell>
          <cell r="N142">
            <v>0</v>
          </cell>
          <cell r="O142">
            <v>0</v>
          </cell>
          <cell r="P142">
            <v>3083.5199999999995</v>
          </cell>
          <cell r="Q142">
            <v>0</v>
          </cell>
          <cell r="R142">
            <v>0</v>
          </cell>
          <cell r="S142">
            <v>0</v>
          </cell>
          <cell r="T142">
            <v>0</v>
          </cell>
          <cell r="U142">
            <v>0</v>
          </cell>
          <cell r="V142">
            <v>0</v>
          </cell>
          <cell r="W142">
            <v>0</v>
          </cell>
          <cell r="X142">
            <v>0</v>
          </cell>
          <cell r="Y142">
            <v>0</v>
          </cell>
        </row>
        <row r="143">
          <cell r="J143">
            <v>0</v>
          </cell>
          <cell r="K143">
            <v>0</v>
          </cell>
          <cell r="L143">
            <v>0</v>
          </cell>
          <cell r="M143">
            <v>0</v>
          </cell>
          <cell r="N143">
            <v>0</v>
          </cell>
          <cell r="O143">
            <v>0</v>
          </cell>
          <cell r="P143">
            <v>14508.92625</v>
          </cell>
          <cell r="Q143">
            <v>0</v>
          </cell>
          <cell r="R143">
            <v>0</v>
          </cell>
          <cell r="S143">
            <v>0</v>
          </cell>
          <cell r="T143">
            <v>0</v>
          </cell>
          <cell r="U143">
            <v>0</v>
          </cell>
          <cell r="V143">
            <v>0</v>
          </cell>
          <cell r="W143">
            <v>0</v>
          </cell>
          <cell r="X143">
            <v>0</v>
          </cell>
          <cell r="Y143">
            <v>0</v>
          </cell>
        </row>
        <row r="144">
          <cell r="J144">
            <v>0</v>
          </cell>
          <cell r="K144">
            <v>0</v>
          </cell>
          <cell r="L144">
            <v>0</v>
          </cell>
          <cell r="M144">
            <v>0</v>
          </cell>
          <cell r="N144">
            <v>0</v>
          </cell>
          <cell r="O144">
            <v>0</v>
          </cell>
          <cell r="P144">
            <v>0</v>
          </cell>
          <cell r="Q144">
            <v>2747.5920000000001</v>
          </cell>
          <cell r="R144">
            <v>0</v>
          </cell>
          <cell r="S144">
            <v>0</v>
          </cell>
          <cell r="T144">
            <v>0</v>
          </cell>
          <cell r="U144">
            <v>0</v>
          </cell>
          <cell r="V144">
            <v>0</v>
          </cell>
          <cell r="W144">
            <v>0</v>
          </cell>
          <cell r="X144">
            <v>0</v>
          </cell>
          <cell r="Y144">
            <v>0</v>
          </cell>
        </row>
        <row r="145">
          <cell r="J145">
            <v>0</v>
          </cell>
          <cell r="K145">
            <v>0</v>
          </cell>
          <cell r="L145">
            <v>0</v>
          </cell>
          <cell r="M145">
            <v>0</v>
          </cell>
          <cell r="N145">
            <v>0</v>
          </cell>
          <cell r="O145">
            <v>0</v>
          </cell>
          <cell r="P145">
            <v>0</v>
          </cell>
          <cell r="Q145">
            <v>412.40159999999997</v>
          </cell>
          <cell r="R145">
            <v>0</v>
          </cell>
          <cell r="S145">
            <v>0</v>
          </cell>
          <cell r="T145">
            <v>0</v>
          </cell>
          <cell r="U145">
            <v>0</v>
          </cell>
          <cell r="V145">
            <v>0</v>
          </cell>
          <cell r="W145">
            <v>0</v>
          </cell>
          <cell r="X145">
            <v>0</v>
          </cell>
          <cell r="Y145">
            <v>0</v>
          </cell>
        </row>
        <row r="146">
          <cell r="J146">
            <v>0</v>
          </cell>
          <cell r="K146">
            <v>0</v>
          </cell>
          <cell r="L146">
            <v>0</v>
          </cell>
          <cell r="M146">
            <v>0</v>
          </cell>
          <cell r="N146">
            <v>0</v>
          </cell>
          <cell r="O146">
            <v>0</v>
          </cell>
          <cell r="P146">
            <v>0</v>
          </cell>
          <cell r="Q146">
            <v>1153.92</v>
          </cell>
          <cell r="R146">
            <v>0</v>
          </cell>
          <cell r="S146">
            <v>0</v>
          </cell>
          <cell r="T146">
            <v>0</v>
          </cell>
          <cell r="U146">
            <v>0</v>
          </cell>
          <cell r="V146">
            <v>0</v>
          </cell>
          <cell r="W146">
            <v>0</v>
          </cell>
          <cell r="X146">
            <v>0</v>
          </cell>
          <cell r="Y146">
            <v>0</v>
          </cell>
        </row>
        <row r="149">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13731.58</v>
          </cell>
          <cell r="Y149">
            <v>0</v>
          </cell>
        </row>
        <row r="151">
          <cell r="J151">
            <v>0</v>
          </cell>
          <cell r="K151">
            <v>0</v>
          </cell>
          <cell r="L151">
            <v>0</v>
          </cell>
          <cell r="M151">
            <v>0</v>
          </cell>
          <cell r="N151">
            <v>0</v>
          </cell>
          <cell r="O151">
            <v>0</v>
          </cell>
          <cell r="P151">
            <v>0</v>
          </cell>
          <cell r="Q151">
            <v>0</v>
          </cell>
          <cell r="R151">
            <v>0</v>
          </cell>
          <cell r="S151">
            <v>0</v>
          </cell>
          <cell r="T151">
            <v>0</v>
          </cell>
          <cell r="U151">
            <v>0</v>
          </cell>
          <cell r="V151">
            <v>0</v>
          </cell>
          <cell r="W151">
            <v>11719.625</v>
          </cell>
          <cell r="X151">
            <v>35158.875</v>
          </cell>
          <cell r="Y151">
            <v>0</v>
          </cell>
        </row>
        <row r="152">
          <cell r="J152">
            <v>0</v>
          </cell>
          <cell r="K152">
            <v>0</v>
          </cell>
          <cell r="L152">
            <v>0</v>
          </cell>
          <cell r="M152">
            <v>0</v>
          </cell>
          <cell r="N152">
            <v>0</v>
          </cell>
          <cell r="O152">
            <v>0</v>
          </cell>
          <cell r="P152">
            <v>0</v>
          </cell>
          <cell r="Q152">
            <v>0</v>
          </cell>
          <cell r="R152">
            <v>0</v>
          </cell>
          <cell r="S152">
            <v>0</v>
          </cell>
          <cell r="T152">
            <v>0</v>
          </cell>
          <cell r="U152">
            <v>0</v>
          </cell>
          <cell r="V152">
            <v>0</v>
          </cell>
          <cell r="W152">
            <v>27261.654999999999</v>
          </cell>
          <cell r="X152">
            <v>81784.964999999997</v>
          </cell>
          <cell r="Y152">
            <v>0</v>
          </cell>
        </row>
        <row r="153">
          <cell r="J153">
            <v>0</v>
          </cell>
          <cell r="K153">
            <v>0</v>
          </cell>
          <cell r="L153">
            <v>0</v>
          </cell>
          <cell r="M153">
            <v>0</v>
          </cell>
          <cell r="N153">
            <v>0</v>
          </cell>
          <cell r="O153">
            <v>0</v>
          </cell>
          <cell r="P153">
            <v>0</v>
          </cell>
          <cell r="Q153">
            <v>0</v>
          </cell>
          <cell r="R153">
            <v>0</v>
          </cell>
          <cell r="S153">
            <v>0</v>
          </cell>
          <cell r="T153">
            <v>0</v>
          </cell>
          <cell r="U153">
            <v>0</v>
          </cell>
          <cell r="V153">
            <v>0</v>
          </cell>
          <cell r="W153">
            <v>21059.267500000002</v>
          </cell>
          <cell r="X153">
            <v>63177.802500000005</v>
          </cell>
          <cell r="Y153">
            <v>0</v>
          </cell>
        </row>
        <row r="154">
          <cell r="J154">
            <v>0</v>
          </cell>
          <cell r="K154">
            <v>0</v>
          </cell>
          <cell r="L154">
            <v>0</v>
          </cell>
          <cell r="M154">
            <v>0</v>
          </cell>
          <cell r="N154">
            <v>0</v>
          </cell>
          <cell r="O154">
            <v>0</v>
          </cell>
          <cell r="P154">
            <v>0</v>
          </cell>
          <cell r="Q154">
            <v>0</v>
          </cell>
          <cell r="R154">
            <v>0</v>
          </cell>
          <cell r="S154">
            <v>0</v>
          </cell>
          <cell r="T154">
            <v>0</v>
          </cell>
          <cell r="U154">
            <v>0</v>
          </cell>
          <cell r="V154">
            <v>0</v>
          </cell>
          <cell r="W154">
            <v>95560.037500000006</v>
          </cell>
          <cell r="X154">
            <v>286680.11250000005</v>
          </cell>
          <cell r="Y154">
            <v>0</v>
          </cell>
        </row>
        <row r="155">
          <cell r="J155">
            <v>0</v>
          </cell>
          <cell r="K155">
            <v>0</v>
          </cell>
          <cell r="L155">
            <v>0</v>
          </cell>
          <cell r="M155">
            <v>0</v>
          </cell>
          <cell r="N155">
            <v>0</v>
          </cell>
          <cell r="O155">
            <v>0</v>
          </cell>
          <cell r="P155">
            <v>0</v>
          </cell>
          <cell r="Q155">
            <v>0</v>
          </cell>
          <cell r="R155">
            <v>0</v>
          </cell>
          <cell r="S155">
            <v>0</v>
          </cell>
          <cell r="T155">
            <v>0</v>
          </cell>
          <cell r="U155">
            <v>0</v>
          </cell>
          <cell r="V155">
            <v>0</v>
          </cell>
          <cell r="W155">
            <v>46517.904999999999</v>
          </cell>
          <cell r="X155">
            <v>139553.715</v>
          </cell>
          <cell r="Y155">
            <v>0</v>
          </cell>
        </row>
        <row r="156">
          <cell r="J156">
            <v>0</v>
          </cell>
          <cell r="K156">
            <v>0</v>
          </cell>
          <cell r="L156">
            <v>0</v>
          </cell>
          <cell r="M156">
            <v>0</v>
          </cell>
          <cell r="N156">
            <v>0</v>
          </cell>
          <cell r="O156">
            <v>0</v>
          </cell>
          <cell r="P156">
            <v>0</v>
          </cell>
          <cell r="Q156">
            <v>0</v>
          </cell>
          <cell r="R156">
            <v>0</v>
          </cell>
          <cell r="S156">
            <v>0</v>
          </cell>
          <cell r="T156">
            <v>0</v>
          </cell>
          <cell r="U156">
            <v>0</v>
          </cell>
          <cell r="V156">
            <v>0</v>
          </cell>
          <cell r="W156">
            <v>3216.585</v>
          </cell>
          <cell r="X156">
            <v>9649.755000000001</v>
          </cell>
          <cell r="Y156">
            <v>0</v>
          </cell>
        </row>
        <row r="157">
          <cell r="J157">
            <v>0</v>
          </cell>
          <cell r="K157">
            <v>0</v>
          </cell>
          <cell r="L157">
            <v>0</v>
          </cell>
          <cell r="M157">
            <v>0</v>
          </cell>
          <cell r="N157">
            <v>0</v>
          </cell>
          <cell r="O157">
            <v>0</v>
          </cell>
          <cell r="P157">
            <v>0</v>
          </cell>
          <cell r="Q157">
            <v>0</v>
          </cell>
          <cell r="R157">
            <v>0</v>
          </cell>
          <cell r="S157">
            <v>0</v>
          </cell>
          <cell r="T157">
            <v>0</v>
          </cell>
          <cell r="U157">
            <v>0</v>
          </cell>
          <cell r="V157">
            <v>0</v>
          </cell>
          <cell r="W157">
            <v>6815.41</v>
          </cell>
          <cell r="X157">
            <v>20446.23</v>
          </cell>
          <cell r="Y157">
            <v>0</v>
          </cell>
        </row>
        <row r="158">
          <cell r="J158">
            <v>0</v>
          </cell>
          <cell r="K158">
            <v>0</v>
          </cell>
          <cell r="L158">
            <v>0</v>
          </cell>
          <cell r="M158">
            <v>0</v>
          </cell>
          <cell r="N158">
            <v>0</v>
          </cell>
          <cell r="O158">
            <v>0</v>
          </cell>
          <cell r="P158">
            <v>0</v>
          </cell>
          <cell r="Q158">
            <v>0</v>
          </cell>
          <cell r="R158">
            <v>0</v>
          </cell>
          <cell r="S158">
            <v>6207.3461905730728</v>
          </cell>
          <cell r="T158">
            <v>53693.318577874765</v>
          </cell>
          <cell r="U158">
            <v>49968.917719781195</v>
          </cell>
          <cell r="V158">
            <v>30900.822931585368</v>
          </cell>
          <cell r="W158">
            <v>24033.974026071053</v>
          </cell>
          <cell r="X158">
            <v>54934.791244114516</v>
          </cell>
          <cell r="Y158">
            <v>0</v>
          </cell>
        </row>
        <row r="159">
          <cell r="J159">
            <v>0</v>
          </cell>
          <cell r="K159">
            <v>0</v>
          </cell>
          <cell r="L159">
            <v>0</v>
          </cell>
          <cell r="M159">
            <v>0</v>
          </cell>
          <cell r="N159">
            <v>0</v>
          </cell>
          <cell r="O159">
            <v>0</v>
          </cell>
          <cell r="P159">
            <v>0</v>
          </cell>
          <cell r="Q159">
            <v>0</v>
          </cell>
          <cell r="R159">
            <v>0</v>
          </cell>
          <cell r="S159">
            <v>5750.4372906619601</v>
          </cell>
          <cell r="T159">
            <v>49741.073226833898</v>
          </cell>
          <cell r="U159">
            <v>46290.817204013714</v>
          </cell>
          <cell r="V159">
            <v>28626.28231816498</v>
          </cell>
          <cell r="W159">
            <v>22264.886835570636</v>
          </cell>
          <cell r="X159">
            <v>50891.163860754787</v>
          </cell>
          <cell r="Y159">
            <v>0</v>
          </cell>
        </row>
        <row r="160">
          <cell r="J160">
            <v>0</v>
          </cell>
          <cell r="K160">
            <v>0</v>
          </cell>
          <cell r="L160">
            <v>0</v>
          </cell>
          <cell r="M160">
            <v>0</v>
          </cell>
          <cell r="N160">
            <v>0</v>
          </cell>
          <cell r="O160">
            <v>0</v>
          </cell>
          <cell r="P160">
            <v>0</v>
          </cell>
          <cell r="Q160">
            <v>0</v>
          </cell>
          <cell r="R160">
            <v>0</v>
          </cell>
          <cell r="S160">
            <v>2048.4803807506628</v>
          </cell>
          <cell r="T160">
            <v>17719.28072115744</v>
          </cell>
          <cell r="U160">
            <v>16490.194755331642</v>
          </cell>
          <cell r="V160">
            <v>10197.551027608926</v>
          </cell>
          <cell r="W160">
            <v>7931.4287865314436</v>
          </cell>
          <cell r="X160">
            <v>18128.977928619868</v>
          </cell>
          <cell r="Y160">
            <v>0</v>
          </cell>
        </row>
        <row r="161">
          <cell r="J161">
            <v>0</v>
          </cell>
          <cell r="K161">
            <v>0</v>
          </cell>
          <cell r="L161">
            <v>0</v>
          </cell>
          <cell r="M161">
            <v>0</v>
          </cell>
          <cell r="N161">
            <v>0</v>
          </cell>
          <cell r="O161">
            <v>0</v>
          </cell>
          <cell r="P161">
            <v>0</v>
          </cell>
          <cell r="Q161">
            <v>0</v>
          </cell>
          <cell r="R161">
            <v>0</v>
          </cell>
          <cell r="S161">
            <v>1073.6055961903101</v>
          </cell>
          <cell r="T161">
            <v>9286.6493237931609</v>
          </cell>
          <cell r="U161">
            <v>8642.4871519172448</v>
          </cell>
          <cell r="V161">
            <v>5344.5217018213561</v>
          </cell>
          <cell r="W161">
            <v>4156.850322327562</v>
          </cell>
          <cell r="X161">
            <v>9501.3710359503584</v>
          </cell>
          <cell r="Y161">
            <v>0</v>
          </cell>
        </row>
        <row r="162">
          <cell r="J162">
            <v>0</v>
          </cell>
          <cell r="K162">
            <v>0</v>
          </cell>
          <cell r="L162">
            <v>0</v>
          </cell>
          <cell r="M162">
            <v>0</v>
          </cell>
          <cell r="N162">
            <v>0</v>
          </cell>
          <cell r="O162">
            <v>0</v>
          </cell>
          <cell r="P162">
            <v>0</v>
          </cell>
          <cell r="Q162">
            <v>0</v>
          </cell>
          <cell r="R162">
            <v>0</v>
          </cell>
          <cell r="S162">
            <v>433.48082612131697</v>
          </cell>
          <cell r="T162">
            <v>3749.5933656285115</v>
          </cell>
          <cell r="U162">
            <v>3489.5053487518035</v>
          </cell>
          <cell r="V162">
            <v>2157.9131952644516</v>
          </cell>
          <cell r="W162">
            <v>1678.3769739830996</v>
          </cell>
          <cell r="X162">
            <v>3836.2897702508158</v>
          </cell>
          <cell r="Y162">
            <v>0</v>
          </cell>
        </row>
        <row r="163">
          <cell r="J163">
            <v>0</v>
          </cell>
          <cell r="K163">
            <v>0</v>
          </cell>
          <cell r="L163">
            <v>0</v>
          </cell>
          <cell r="M163">
            <v>0</v>
          </cell>
          <cell r="N163">
            <v>0</v>
          </cell>
          <cell r="O163">
            <v>0</v>
          </cell>
          <cell r="P163">
            <v>0</v>
          </cell>
          <cell r="Q163">
            <v>0</v>
          </cell>
          <cell r="R163">
            <v>8640.4434853258554</v>
          </cell>
          <cell r="S163">
            <v>21348.904976422829</v>
          </cell>
          <cell r="T163">
            <v>3974.8186982513157</v>
          </cell>
          <cell r="U163">
            <v>0</v>
          </cell>
          <cell r="V163">
            <v>0</v>
          </cell>
          <cell r="W163">
            <v>0</v>
          </cell>
          <cell r="X163">
            <v>0</v>
          </cell>
          <cell r="Y163">
            <v>0</v>
          </cell>
        </row>
        <row r="164">
          <cell r="J164">
            <v>0</v>
          </cell>
          <cell r="K164">
            <v>0</v>
          </cell>
          <cell r="L164">
            <v>0</v>
          </cell>
          <cell r="M164">
            <v>0</v>
          </cell>
          <cell r="N164">
            <v>0</v>
          </cell>
          <cell r="O164">
            <v>0</v>
          </cell>
          <cell r="P164">
            <v>0</v>
          </cell>
          <cell r="Q164">
            <v>0</v>
          </cell>
          <cell r="R164">
            <v>30843.904017085821</v>
          </cell>
          <cell r="S164">
            <v>76209.465067502635</v>
          </cell>
          <cell r="T164">
            <v>14188.962247411544</v>
          </cell>
          <cell r="U164">
            <v>0</v>
          </cell>
          <cell r="V164">
            <v>0</v>
          </cell>
          <cell r="W164">
            <v>0</v>
          </cell>
          <cell r="X164">
            <v>0</v>
          </cell>
          <cell r="Y164">
            <v>0</v>
          </cell>
        </row>
        <row r="165">
          <cell r="J165">
            <v>0</v>
          </cell>
          <cell r="K165">
            <v>0</v>
          </cell>
          <cell r="L165">
            <v>0</v>
          </cell>
          <cell r="M165">
            <v>0</v>
          </cell>
          <cell r="N165">
            <v>0</v>
          </cell>
          <cell r="O165">
            <v>0</v>
          </cell>
          <cell r="P165">
            <v>0</v>
          </cell>
          <cell r="Q165">
            <v>0</v>
          </cell>
          <cell r="R165">
            <v>5315.1722666485548</v>
          </cell>
          <cell r="S165">
            <v>13132.787436977093</v>
          </cell>
          <cell r="T165">
            <v>2445.1113123743498</v>
          </cell>
          <cell r="U165">
            <v>0</v>
          </cell>
          <cell r="V165">
            <v>0</v>
          </cell>
          <cell r="W165">
            <v>0</v>
          </cell>
          <cell r="X165">
            <v>0</v>
          </cell>
          <cell r="Y165">
            <v>0</v>
          </cell>
        </row>
        <row r="166">
          <cell r="J166">
            <v>0</v>
          </cell>
          <cell r="K166">
            <v>0</v>
          </cell>
          <cell r="L166">
            <v>0</v>
          </cell>
          <cell r="M166">
            <v>0</v>
          </cell>
          <cell r="N166">
            <v>0</v>
          </cell>
          <cell r="O166">
            <v>0</v>
          </cell>
          <cell r="P166">
            <v>0</v>
          </cell>
          <cell r="Q166">
            <v>0</v>
          </cell>
          <cell r="R166">
            <v>1219.0779721676092</v>
          </cell>
          <cell r="S166">
            <v>3012.111569372184</v>
          </cell>
          <cell r="T166">
            <v>560.80615846020646</v>
          </cell>
          <cell r="U166">
            <v>0</v>
          </cell>
          <cell r="V166">
            <v>0</v>
          </cell>
          <cell r="W166">
            <v>0</v>
          </cell>
          <cell r="X166">
            <v>0</v>
          </cell>
          <cell r="Y166">
            <v>0</v>
          </cell>
        </row>
        <row r="167">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row>
        <row r="168">
          <cell r="J168">
            <v>0</v>
          </cell>
          <cell r="K168">
            <v>0</v>
          </cell>
          <cell r="L168">
            <v>0</v>
          </cell>
          <cell r="M168">
            <v>0</v>
          </cell>
          <cell r="N168">
            <v>0</v>
          </cell>
          <cell r="O168">
            <v>0</v>
          </cell>
          <cell r="P168">
            <v>0</v>
          </cell>
          <cell r="Q168">
            <v>0</v>
          </cell>
          <cell r="R168">
            <v>1090.6892814816201</v>
          </cell>
          <cell r="S168">
            <v>2694.8873479352264</v>
          </cell>
          <cell r="T168">
            <v>501.74417058315379</v>
          </cell>
          <cell r="U168">
            <v>0</v>
          </cell>
          <cell r="V168">
            <v>0</v>
          </cell>
          <cell r="W168">
            <v>0</v>
          </cell>
          <cell r="X168">
            <v>0</v>
          </cell>
          <cell r="Y168">
            <v>0</v>
          </cell>
        </row>
        <row r="170">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67839.759000000005</v>
          </cell>
        </row>
        <row r="171">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26638.52</v>
          </cell>
        </row>
        <row r="172">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64736.901000000005</v>
          </cell>
        </row>
        <row r="173">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row>
        <row r="174">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17259.384000000002</v>
          </cell>
        </row>
        <row r="176">
          <cell r="J176">
            <v>0</v>
          </cell>
          <cell r="K176">
            <v>0</v>
          </cell>
          <cell r="L176">
            <v>0</v>
          </cell>
          <cell r="M176">
            <v>0</v>
          </cell>
          <cell r="N176">
            <v>0</v>
          </cell>
          <cell r="O176">
            <v>0</v>
          </cell>
          <cell r="P176">
            <v>0</v>
          </cell>
          <cell r="Q176">
            <v>0</v>
          </cell>
          <cell r="R176">
            <v>0</v>
          </cell>
          <cell r="S176">
            <v>0</v>
          </cell>
          <cell r="T176">
            <v>10772.617703824248</v>
          </cell>
          <cell r="U176">
            <v>11767.804296175746</v>
          </cell>
          <cell r="V176">
            <v>8268.1260228152114</v>
          </cell>
          <cell r="W176">
            <v>12602.63485651209</v>
          </cell>
          <cell r="X176">
            <v>4174.152801681731</v>
          </cell>
          <cell r="Y176">
            <v>5008.9823189909594</v>
          </cell>
        </row>
        <row r="177">
          <cell r="J177">
            <v>0</v>
          </cell>
          <cell r="K177">
            <v>0</v>
          </cell>
          <cell r="L177">
            <v>0</v>
          </cell>
          <cell r="M177">
            <v>0</v>
          </cell>
          <cell r="N177">
            <v>0</v>
          </cell>
          <cell r="O177">
            <v>0</v>
          </cell>
          <cell r="P177">
            <v>0</v>
          </cell>
          <cell r="Q177">
            <v>0</v>
          </cell>
          <cell r="R177">
            <v>0</v>
          </cell>
          <cell r="S177">
            <v>0</v>
          </cell>
          <cell r="T177">
            <v>73217.969492362594</v>
          </cell>
          <cell r="U177">
            <v>79981.92822192311</v>
          </cell>
          <cell r="V177">
            <v>56195.756272181352</v>
          </cell>
          <cell r="W177">
            <v>85655.99929531684</v>
          </cell>
          <cell r="X177">
            <v>28370.355366968743</v>
          </cell>
          <cell r="Y177">
            <v>34044.419351247321</v>
          </cell>
        </row>
        <row r="178">
          <cell r="J178">
            <v>0</v>
          </cell>
          <cell r="K178">
            <v>0</v>
          </cell>
          <cell r="L178">
            <v>0</v>
          </cell>
          <cell r="M178">
            <v>0</v>
          </cell>
          <cell r="N178">
            <v>0</v>
          </cell>
          <cell r="O178">
            <v>0</v>
          </cell>
          <cell r="P178">
            <v>0</v>
          </cell>
          <cell r="Q178">
            <v>0</v>
          </cell>
          <cell r="R178">
            <v>0</v>
          </cell>
          <cell r="S178">
            <v>0</v>
          </cell>
          <cell r="T178">
            <v>6255.4843952225829</v>
          </cell>
          <cell r="U178">
            <v>24035.17635336169</v>
          </cell>
          <cell r="V178">
            <v>24035.176353361683</v>
          </cell>
          <cell r="W178">
            <v>17779.684612339748</v>
          </cell>
          <cell r="X178">
            <v>14421.104342857141</v>
          </cell>
          <cell r="Y178">
            <v>14421.104342857141</v>
          </cell>
        </row>
        <row r="179">
          <cell r="J179">
            <v>0</v>
          </cell>
          <cell r="K179">
            <v>0</v>
          </cell>
          <cell r="L179">
            <v>0</v>
          </cell>
          <cell r="M179">
            <v>0</v>
          </cell>
          <cell r="N179">
            <v>0</v>
          </cell>
          <cell r="O179">
            <v>0</v>
          </cell>
          <cell r="P179">
            <v>0</v>
          </cell>
          <cell r="Q179">
            <v>0</v>
          </cell>
          <cell r="R179">
            <v>0</v>
          </cell>
          <cell r="S179">
            <v>0</v>
          </cell>
          <cell r="T179">
            <v>0</v>
          </cell>
          <cell r="U179">
            <v>0</v>
          </cell>
          <cell r="V179">
            <v>0</v>
          </cell>
          <cell r="W179">
            <v>9004.8960000000006</v>
          </cell>
          <cell r="X179">
            <v>0</v>
          </cell>
          <cell r="Y179">
            <v>0</v>
          </cell>
        </row>
        <row r="180">
          <cell r="J180">
            <v>0</v>
          </cell>
          <cell r="K180">
            <v>0</v>
          </cell>
          <cell r="L180">
            <v>0</v>
          </cell>
          <cell r="M180">
            <v>0</v>
          </cell>
          <cell r="N180">
            <v>0</v>
          </cell>
          <cell r="O180">
            <v>0</v>
          </cell>
          <cell r="P180">
            <v>0</v>
          </cell>
          <cell r="Q180">
            <v>0</v>
          </cell>
          <cell r="R180">
            <v>0</v>
          </cell>
          <cell r="S180">
            <v>0</v>
          </cell>
          <cell r="T180">
            <v>0</v>
          </cell>
          <cell r="U180">
            <v>0</v>
          </cell>
          <cell r="V180">
            <v>0</v>
          </cell>
          <cell r="W180">
            <v>201775.27499999999</v>
          </cell>
          <cell r="X180">
            <v>0</v>
          </cell>
          <cell r="Y180">
            <v>0</v>
          </cell>
        </row>
        <row r="181">
          <cell r="J181">
            <v>0</v>
          </cell>
          <cell r="K181">
            <v>0</v>
          </cell>
          <cell r="L181">
            <v>0</v>
          </cell>
          <cell r="M181">
            <v>0</v>
          </cell>
          <cell r="N181">
            <v>0</v>
          </cell>
          <cell r="O181">
            <v>0</v>
          </cell>
          <cell r="P181">
            <v>0</v>
          </cell>
          <cell r="Q181">
            <v>0</v>
          </cell>
          <cell r="R181">
            <v>0</v>
          </cell>
          <cell r="S181">
            <v>0</v>
          </cell>
          <cell r="T181">
            <v>417.85160989698977</v>
          </cell>
          <cell r="U181">
            <v>1605.4931159416453</v>
          </cell>
          <cell r="V181">
            <v>1605.4931159416449</v>
          </cell>
          <cell r="W181">
            <v>1187.6410153625764</v>
          </cell>
          <cell r="X181">
            <v>963.29577142857136</v>
          </cell>
          <cell r="Y181">
            <v>963.29577142857136</v>
          </cell>
        </row>
        <row r="182">
          <cell r="J182">
            <v>0</v>
          </cell>
          <cell r="K182">
            <v>0</v>
          </cell>
          <cell r="L182">
            <v>0</v>
          </cell>
          <cell r="M182">
            <v>0</v>
          </cell>
          <cell r="N182">
            <v>0</v>
          </cell>
          <cell r="O182">
            <v>0</v>
          </cell>
          <cell r="P182">
            <v>0</v>
          </cell>
          <cell r="Q182">
            <v>0</v>
          </cell>
          <cell r="R182">
            <v>0</v>
          </cell>
          <cell r="S182">
            <v>0</v>
          </cell>
          <cell r="T182">
            <v>0</v>
          </cell>
          <cell r="U182">
            <v>0</v>
          </cell>
          <cell r="V182">
            <v>0</v>
          </cell>
          <cell r="W182">
            <v>141786.5067</v>
          </cell>
          <cell r="X182">
            <v>0</v>
          </cell>
          <cell r="Y182">
            <v>0</v>
          </cell>
        </row>
        <row r="183">
          <cell r="J183">
            <v>0</v>
          </cell>
          <cell r="K183">
            <v>0</v>
          </cell>
          <cell r="L183">
            <v>0</v>
          </cell>
          <cell r="M183">
            <v>0</v>
          </cell>
          <cell r="N183">
            <v>0</v>
          </cell>
          <cell r="O183">
            <v>0</v>
          </cell>
          <cell r="P183">
            <v>0</v>
          </cell>
          <cell r="Q183">
            <v>0</v>
          </cell>
          <cell r="R183">
            <v>0</v>
          </cell>
          <cell r="S183">
            <v>0</v>
          </cell>
          <cell r="T183">
            <v>0</v>
          </cell>
          <cell r="U183">
            <v>0</v>
          </cell>
          <cell r="V183">
            <v>0</v>
          </cell>
          <cell r="W183">
            <v>113395.35600000001</v>
          </cell>
          <cell r="X183">
            <v>0</v>
          </cell>
          <cell r="Y183">
            <v>0</v>
          </cell>
        </row>
        <row r="185">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row>
        <row r="186">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row>
        <row r="187">
          <cell r="J187">
            <v>0</v>
          </cell>
          <cell r="K187">
            <v>0</v>
          </cell>
          <cell r="L187">
            <v>0</v>
          </cell>
          <cell r="M187">
            <v>0</v>
          </cell>
          <cell r="N187">
            <v>0</v>
          </cell>
          <cell r="O187">
            <v>0</v>
          </cell>
          <cell r="P187">
            <v>0</v>
          </cell>
          <cell r="Q187">
            <v>0</v>
          </cell>
          <cell r="R187">
            <v>0</v>
          </cell>
          <cell r="S187">
            <v>0</v>
          </cell>
          <cell r="T187">
            <v>0</v>
          </cell>
          <cell r="U187">
            <v>0</v>
          </cell>
          <cell r="V187">
            <v>0</v>
          </cell>
          <cell r="W187">
            <v>27805.439999999999</v>
          </cell>
          <cell r="X187">
            <v>0</v>
          </cell>
          <cell r="Y187">
            <v>0</v>
          </cell>
        </row>
        <row r="188">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row>
        <row r="190">
          <cell r="J190">
            <v>0</v>
          </cell>
          <cell r="K190">
            <v>0</v>
          </cell>
          <cell r="L190">
            <v>0</v>
          </cell>
          <cell r="M190">
            <v>0</v>
          </cell>
          <cell r="N190">
            <v>0</v>
          </cell>
          <cell r="O190">
            <v>0</v>
          </cell>
          <cell r="P190">
            <v>0</v>
          </cell>
          <cell r="Q190">
            <v>0</v>
          </cell>
          <cell r="R190">
            <v>0</v>
          </cell>
          <cell r="S190">
            <v>0</v>
          </cell>
          <cell r="T190">
            <v>0</v>
          </cell>
          <cell r="U190">
            <v>0</v>
          </cell>
          <cell r="V190">
            <v>0</v>
          </cell>
          <cell r="W190">
            <v>2722.5549999999998</v>
          </cell>
          <cell r="X190">
            <v>8167.6649999999991</v>
          </cell>
          <cell r="Y190">
            <v>0</v>
          </cell>
        </row>
        <row r="191">
          <cell r="J191">
            <v>0</v>
          </cell>
          <cell r="K191">
            <v>0</v>
          </cell>
          <cell r="L191">
            <v>0</v>
          </cell>
          <cell r="M191">
            <v>0</v>
          </cell>
          <cell r="N191">
            <v>0</v>
          </cell>
          <cell r="O191">
            <v>0</v>
          </cell>
          <cell r="P191">
            <v>0</v>
          </cell>
          <cell r="Q191">
            <v>0</v>
          </cell>
          <cell r="R191">
            <v>0</v>
          </cell>
          <cell r="S191">
            <v>0</v>
          </cell>
          <cell r="T191">
            <v>0</v>
          </cell>
          <cell r="U191">
            <v>0</v>
          </cell>
          <cell r="V191">
            <v>0</v>
          </cell>
          <cell r="W191">
            <v>13362.97</v>
          </cell>
          <cell r="X191">
            <v>40088.909999999996</v>
          </cell>
          <cell r="Y191">
            <v>0</v>
          </cell>
        </row>
        <row r="192">
          <cell r="J192">
            <v>0</v>
          </cell>
          <cell r="K192">
            <v>0</v>
          </cell>
          <cell r="L192">
            <v>0</v>
          </cell>
          <cell r="M192">
            <v>0</v>
          </cell>
          <cell r="N192">
            <v>0</v>
          </cell>
          <cell r="O192">
            <v>0</v>
          </cell>
          <cell r="P192">
            <v>0</v>
          </cell>
          <cell r="Q192">
            <v>0</v>
          </cell>
          <cell r="R192">
            <v>0</v>
          </cell>
          <cell r="S192">
            <v>0</v>
          </cell>
          <cell r="T192">
            <v>0</v>
          </cell>
          <cell r="U192">
            <v>0</v>
          </cell>
          <cell r="V192">
            <v>0</v>
          </cell>
          <cell r="W192">
            <v>3711.81</v>
          </cell>
          <cell r="X192">
            <v>11135.43</v>
          </cell>
          <cell r="Y192">
            <v>0</v>
          </cell>
        </row>
        <row r="193">
          <cell r="J193">
            <v>0</v>
          </cell>
          <cell r="K193">
            <v>0</v>
          </cell>
          <cell r="L193">
            <v>0</v>
          </cell>
          <cell r="M193">
            <v>0</v>
          </cell>
          <cell r="N193">
            <v>0</v>
          </cell>
          <cell r="O193">
            <v>0</v>
          </cell>
          <cell r="P193">
            <v>0</v>
          </cell>
          <cell r="Q193">
            <v>0</v>
          </cell>
          <cell r="R193">
            <v>0</v>
          </cell>
          <cell r="S193">
            <v>0</v>
          </cell>
          <cell r="T193">
            <v>0</v>
          </cell>
          <cell r="U193">
            <v>0</v>
          </cell>
          <cell r="V193">
            <v>0</v>
          </cell>
          <cell r="W193">
            <v>5731.4375</v>
          </cell>
          <cell r="X193">
            <v>17194.3125</v>
          </cell>
          <cell r="Y193">
            <v>0</v>
          </cell>
        </row>
        <row r="196">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row>
        <row r="197">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row>
        <row r="198">
          <cell r="J198">
            <v>0</v>
          </cell>
          <cell r="K198">
            <v>0</v>
          </cell>
          <cell r="L198">
            <v>0</v>
          </cell>
          <cell r="M198">
            <v>0</v>
          </cell>
          <cell r="N198">
            <v>0</v>
          </cell>
          <cell r="O198">
            <v>0</v>
          </cell>
          <cell r="P198">
            <v>0</v>
          </cell>
          <cell r="Q198">
            <v>0</v>
          </cell>
          <cell r="R198">
            <v>0</v>
          </cell>
          <cell r="S198">
            <v>0</v>
          </cell>
          <cell r="T198">
            <v>0</v>
          </cell>
          <cell r="U198">
            <v>0</v>
          </cell>
          <cell r="V198">
            <v>349.42500000000001</v>
          </cell>
          <cell r="W198">
            <v>436.78125</v>
          </cell>
          <cell r="X198">
            <v>524.13749999999993</v>
          </cell>
          <cell r="Y198">
            <v>87.356250000000003</v>
          </cell>
        </row>
        <row r="199">
          <cell r="J199">
            <v>0</v>
          </cell>
          <cell r="K199">
            <v>0</v>
          </cell>
          <cell r="L199">
            <v>0</v>
          </cell>
          <cell r="M199">
            <v>0</v>
          </cell>
          <cell r="N199">
            <v>0</v>
          </cell>
          <cell r="O199">
            <v>0</v>
          </cell>
          <cell r="P199">
            <v>0</v>
          </cell>
          <cell r="Q199">
            <v>0</v>
          </cell>
          <cell r="R199">
            <v>0</v>
          </cell>
          <cell r="S199">
            <v>0</v>
          </cell>
          <cell r="T199">
            <v>0</v>
          </cell>
          <cell r="U199">
            <v>0</v>
          </cell>
          <cell r="V199">
            <v>377.19</v>
          </cell>
          <cell r="W199">
            <v>471.48750000000001</v>
          </cell>
          <cell r="X199">
            <v>565.78499999999997</v>
          </cell>
          <cell r="Y199">
            <v>94.297499999999999</v>
          </cell>
        </row>
        <row r="200">
          <cell r="J200">
            <v>0</v>
          </cell>
          <cell r="K200">
            <v>0</v>
          </cell>
          <cell r="L200">
            <v>0</v>
          </cell>
          <cell r="M200">
            <v>0</v>
          </cell>
          <cell r="N200">
            <v>0</v>
          </cell>
          <cell r="O200">
            <v>0</v>
          </cell>
          <cell r="P200">
            <v>0</v>
          </cell>
          <cell r="Q200">
            <v>0</v>
          </cell>
          <cell r="R200">
            <v>0</v>
          </cell>
          <cell r="S200">
            <v>0</v>
          </cell>
          <cell r="T200">
            <v>0</v>
          </cell>
          <cell r="U200">
            <v>0</v>
          </cell>
          <cell r="V200">
            <v>480.685</v>
          </cell>
          <cell r="W200">
            <v>600.85625000000005</v>
          </cell>
          <cell r="X200">
            <v>721.02749999999992</v>
          </cell>
          <cell r="Y200">
            <v>120.17125</v>
          </cell>
        </row>
        <row r="201">
          <cell r="J201">
            <v>0</v>
          </cell>
          <cell r="K201">
            <v>0</v>
          </cell>
          <cell r="L201">
            <v>0</v>
          </cell>
          <cell r="M201">
            <v>0</v>
          </cell>
          <cell r="N201">
            <v>0</v>
          </cell>
          <cell r="O201">
            <v>0</v>
          </cell>
          <cell r="P201">
            <v>0</v>
          </cell>
          <cell r="Q201">
            <v>0</v>
          </cell>
          <cell r="R201">
            <v>0</v>
          </cell>
          <cell r="S201">
            <v>0</v>
          </cell>
          <cell r="T201">
            <v>0</v>
          </cell>
          <cell r="U201">
            <v>0</v>
          </cell>
          <cell r="V201">
            <v>2620.8649999999998</v>
          </cell>
          <cell r="W201">
            <v>3276.0812499999997</v>
          </cell>
          <cell r="X201">
            <v>3931.2974999999992</v>
          </cell>
          <cell r="Y201">
            <v>655.21624999999995</v>
          </cell>
        </row>
        <row r="202">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row>
        <row r="203">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row>
        <row r="204">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row>
        <row r="205">
          <cell r="J205">
            <v>0</v>
          </cell>
          <cell r="K205">
            <v>0</v>
          </cell>
          <cell r="L205">
            <v>0</v>
          </cell>
          <cell r="M205">
            <v>0</v>
          </cell>
          <cell r="N205">
            <v>0</v>
          </cell>
          <cell r="O205">
            <v>0</v>
          </cell>
          <cell r="P205">
            <v>0</v>
          </cell>
          <cell r="Q205">
            <v>0</v>
          </cell>
          <cell r="R205">
            <v>0</v>
          </cell>
          <cell r="S205">
            <v>0</v>
          </cell>
          <cell r="T205">
            <v>0</v>
          </cell>
          <cell r="U205">
            <v>0</v>
          </cell>
          <cell r="V205">
            <v>1900.02</v>
          </cell>
          <cell r="W205">
            <v>2375.0250000000001</v>
          </cell>
          <cell r="X205">
            <v>2850.0299999999997</v>
          </cell>
          <cell r="Y205">
            <v>475.005</v>
          </cell>
        </row>
        <row r="206">
          <cell r="J206">
            <v>0</v>
          </cell>
          <cell r="K206">
            <v>0</v>
          </cell>
          <cell r="L206">
            <v>0</v>
          </cell>
          <cell r="M206">
            <v>0</v>
          </cell>
          <cell r="N206">
            <v>0</v>
          </cell>
          <cell r="O206">
            <v>0</v>
          </cell>
          <cell r="P206">
            <v>0</v>
          </cell>
          <cell r="Q206">
            <v>0</v>
          </cell>
          <cell r="R206">
            <v>0</v>
          </cell>
          <cell r="S206">
            <v>0</v>
          </cell>
          <cell r="T206">
            <v>0</v>
          </cell>
          <cell r="U206">
            <v>0</v>
          </cell>
          <cell r="V206">
            <v>8319.8525000000009</v>
          </cell>
          <cell r="W206">
            <v>10399.815625000001</v>
          </cell>
          <cell r="X206">
            <v>12479.778749999999</v>
          </cell>
          <cell r="Y206">
            <v>2079.9631250000002</v>
          </cell>
        </row>
        <row r="208">
          <cell r="J208">
            <v>0</v>
          </cell>
          <cell r="K208">
            <v>0</v>
          </cell>
          <cell r="L208">
            <v>0</v>
          </cell>
          <cell r="M208">
            <v>0</v>
          </cell>
          <cell r="N208">
            <v>0</v>
          </cell>
          <cell r="O208">
            <v>0</v>
          </cell>
          <cell r="P208">
            <v>0</v>
          </cell>
          <cell r="Q208">
            <v>0</v>
          </cell>
          <cell r="R208">
            <v>0</v>
          </cell>
          <cell r="S208">
            <v>0</v>
          </cell>
          <cell r="T208">
            <v>0</v>
          </cell>
          <cell r="U208">
            <v>0</v>
          </cell>
          <cell r="V208">
            <v>8178.4949999999999</v>
          </cell>
          <cell r="W208">
            <v>10223.11875</v>
          </cell>
          <cell r="X208">
            <v>12267.742499999997</v>
          </cell>
          <cell r="Y208">
            <v>2044.62375</v>
          </cell>
        </row>
        <row r="209">
          <cell r="J209">
            <v>0</v>
          </cell>
          <cell r="K209">
            <v>0</v>
          </cell>
          <cell r="L209">
            <v>0</v>
          </cell>
          <cell r="M209">
            <v>0</v>
          </cell>
          <cell r="N209">
            <v>0</v>
          </cell>
          <cell r="O209">
            <v>0</v>
          </cell>
          <cell r="P209">
            <v>0</v>
          </cell>
          <cell r="Q209">
            <v>0</v>
          </cell>
          <cell r="R209">
            <v>0</v>
          </cell>
          <cell r="S209">
            <v>0</v>
          </cell>
          <cell r="T209">
            <v>0</v>
          </cell>
          <cell r="U209">
            <v>0</v>
          </cell>
          <cell r="V209">
            <v>19083.154999999999</v>
          </cell>
          <cell r="W209">
            <v>23853.943749999999</v>
          </cell>
          <cell r="X209">
            <v>28624.732499999995</v>
          </cell>
          <cell r="Y209">
            <v>4770.7887499999997</v>
          </cell>
        </row>
        <row r="210">
          <cell r="J210">
            <v>0</v>
          </cell>
          <cell r="K210">
            <v>0</v>
          </cell>
          <cell r="L210">
            <v>0</v>
          </cell>
          <cell r="M210">
            <v>0</v>
          </cell>
          <cell r="N210">
            <v>0</v>
          </cell>
          <cell r="O210">
            <v>0</v>
          </cell>
          <cell r="P210">
            <v>0</v>
          </cell>
          <cell r="Q210">
            <v>0</v>
          </cell>
          <cell r="R210">
            <v>0</v>
          </cell>
          <cell r="S210">
            <v>0</v>
          </cell>
          <cell r="T210">
            <v>0</v>
          </cell>
          <cell r="U210">
            <v>0</v>
          </cell>
          <cell r="V210">
            <v>2726.165</v>
          </cell>
          <cell r="W210">
            <v>3407.7062500000002</v>
          </cell>
          <cell r="X210">
            <v>4089.2474999999995</v>
          </cell>
          <cell r="Y210">
            <v>681.54124999999999</v>
          </cell>
        </row>
        <row r="211">
          <cell r="J211">
            <v>0</v>
          </cell>
          <cell r="K211">
            <v>0</v>
          </cell>
          <cell r="L211">
            <v>0</v>
          </cell>
          <cell r="M211">
            <v>0</v>
          </cell>
          <cell r="N211">
            <v>0</v>
          </cell>
          <cell r="O211">
            <v>0</v>
          </cell>
          <cell r="P211">
            <v>0</v>
          </cell>
          <cell r="Q211">
            <v>0</v>
          </cell>
          <cell r="R211">
            <v>0</v>
          </cell>
          <cell r="S211">
            <v>0</v>
          </cell>
          <cell r="T211">
            <v>0</v>
          </cell>
          <cell r="U211">
            <v>0</v>
          </cell>
          <cell r="V211">
            <v>1363.0825</v>
          </cell>
          <cell r="W211">
            <v>1703.8531250000001</v>
          </cell>
          <cell r="X211">
            <v>2044.6237499999997</v>
          </cell>
          <cell r="Y211">
            <v>340.770625</v>
          </cell>
        </row>
        <row r="212">
          <cell r="J212">
            <v>0</v>
          </cell>
          <cell r="K212">
            <v>0</v>
          </cell>
          <cell r="L212">
            <v>0</v>
          </cell>
          <cell r="M212">
            <v>0</v>
          </cell>
          <cell r="N212">
            <v>0</v>
          </cell>
          <cell r="O212">
            <v>0</v>
          </cell>
          <cell r="P212">
            <v>0</v>
          </cell>
          <cell r="Q212">
            <v>0</v>
          </cell>
          <cell r="R212">
            <v>0</v>
          </cell>
          <cell r="S212">
            <v>0</v>
          </cell>
          <cell r="T212">
            <v>0</v>
          </cell>
          <cell r="U212">
            <v>0</v>
          </cell>
          <cell r="V212">
            <v>1363.0825</v>
          </cell>
          <cell r="W212">
            <v>1703.8531250000001</v>
          </cell>
          <cell r="X212">
            <v>2044.6237499999997</v>
          </cell>
          <cell r="Y212">
            <v>340.770625</v>
          </cell>
        </row>
        <row r="213">
          <cell r="J213">
            <v>0</v>
          </cell>
          <cell r="K213">
            <v>0</v>
          </cell>
          <cell r="L213">
            <v>0</v>
          </cell>
          <cell r="M213">
            <v>0</v>
          </cell>
          <cell r="N213">
            <v>0</v>
          </cell>
          <cell r="O213">
            <v>0</v>
          </cell>
          <cell r="P213">
            <v>0</v>
          </cell>
          <cell r="Q213">
            <v>0</v>
          </cell>
          <cell r="R213">
            <v>0</v>
          </cell>
          <cell r="S213">
            <v>0</v>
          </cell>
          <cell r="T213">
            <v>0</v>
          </cell>
          <cell r="U213">
            <v>0</v>
          </cell>
          <cell r="V213">
            <v>0</v>
          </cell>
          <cell r="W213">
            <v>11462.875</v>
          </cell>
          <cell r="X213">
            <v>34388.625</v>
          </cell>
          <cell r="Y213">
            <v>0</v>
          </cell>
        </row>
        <row r="214">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row>
        <row r="215">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row>
        <row r="216">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row>
        <row r="217">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row>
        <row r="218">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row>
        <row r="220">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row>
        <row r="221">
          <cell r="J221">
            <v>0</v>
          </cell>
          <cell r="K221">
            <v>0</v>
          </cell>
          <cell r="L221">
            <v>0</v>
          </cell>
          <cell r="M221">
            <v>0</v>
          </cell>
          <cell r="N221">
            <v>0</v>
          </cell>
          <cell r="O221">
            <v>0</v>
          </cell>
          <cell r="P221">
            <v>0</v>
          </cell>
          <cell r="Q221">
            <v>0</v>
          </cell>
          <cell r="R221">
            <v>0</v>
          </cell>
          <cell r="S221">
            <v>0</v>
          </cell>
          <cell r="T221">
            <v>0</v>
          </cell>
          <cell r="U221">
            <v>0</v>
          </cell>
          <cell r="V221">
            <v>1947.26</v>
          </cell>
          <cell r="W221">
            <v>2434.0749999999998</v>
          </cell>
          <cell r="X221">
            <v>2920.8899999999994</v>
          </cell>
          <cell r="Y221">
            <v>486.815</v>
          </cell>
        </row>
        <row r="222">
          <cell r="J222">
            <v>0</v>
          </cell>
          <cell r="K222">
            <v>0</v>
          </cell>
          <cell r="L222">
            <v>0</v>
          </cell>
          <cell r="M222">
            <v>0</v>
          </cell>
          <cell r="N222">
            <v>0</v>
          </cell>
          <cell r="O222">
            <v>0</v>
          </cell>
          <cell r="P222">
            <v>0</v>
          </cell>
          <cell r="Q222">
            <v>0</v>
          </cell>
          <cell r="R222">
            <v>0</v>
          </cell>
          <cell r="S222">
            <v>0</v>
          </cell>
          <cell r="T222">
            <v>0</v>
          </cell>
          <cell r="U222">
            <v>0</v>
          </cell>
          <cell r="V222">
            <v>14928.997499999999</v>
          </cell>
          <cell r="W222">
            <v>18661.246875000001</v>
          </cell>
          <cell r="X222">
            <v>22393.496249999997</v>
          </cell>
          <cell r="Y222">
            <v>3732.2493749999999</v>
          </cell>
        </row>
        <row r="224">
          <cell r="J224">
            <v>0</v>
          </cell>
          <cell r="K224">
            <v>0</v>
          </cell>
          <cell r="L224">
            <v>0</v>
          </cell>
          <cell r="M224">
            <v>0</v>
          </cell>
          <cell r="N224">
            <v>0</v>
          </cell>
          <cell r="O224">
            <v>0</v>
          </cell>
          <cell r="P224">
            <v>0</v>
          </cell>
          <cell r="Q224">
            <v>0</v>
          </cell>
          <cell r="R224">
            <v>0</v>
          </cell>
          <cell r="S224">
            <v>0</v>
          </cell>
          <cell r="T224">
            <v>0</v>
          </cell>
          <cell r="U224">
            <v>0</v>
          </cell>
          <cell r="V224">
            <v>0</v>
          </cell>
          <cell r="W224">
            <v>6330.6935999999996</v>
          </cell>
          <cell r="X224">
            <v>18992.0808</v>
          </cell>
          <cell r="Y224">
            <v>0</v>
          </cell>
        </row>
        <row r="225">
          <cell r="J225">
            <v>0</v>
          </cell>
          <cell r="K225">
            <v>0</v>
          </cell>
          <cell r="L225">
            <v>0</v>
          </cell>
          <cell r="M225">
            <v>0</v>
          </cell>
          <cell r="N225">
            <v>0</v>
          </cell>
          <cell r="O225">
            <v>0</v>
          </cell>
          <cell r="P225">
            <v>0</v>
          </cell>
          <cell r="Q225">
            <v>0</v>
          </cell>
          <cell r="R225">
            <v>0</v>
          </cell>
          <cell r="S225">
            <v>0</v>
          </cell>
          <cell r="T225">
            <v>0</v>
          </cell>
          <cell r="U225">
            <v>0</v>
          </cell>
          <cell r="V225">
            <v>0</v>
          </cell>
          <cell r="W225">
            <v>9725.1115500000014</v>
          </cell>
          <cell r="X225">
            <v>29175.334650000004</v>
          </cell>
          <cell r="Y225">
            <v>0</v>
          </cell>
        </row>
        <row r="227">
          <cell r="J227">
            <v>0</v>
          </cell>
          <cell r="K227">
            <v>0</v>
          </cell>
          <cell r="L227">
            <v>0</v>
          </cell>
          <cell r="M227">
            <v>0</v>
          </cell>
          <cell r="N227">
            <v>0</v>
          </cell>
          <cell r="O227">
            <v>0</v>
          </cell>
          <cell r="P227">
            <v>0</v>
          </cell>
          <cell r="Q227">
            <v>0</v>
          </cell>
          <cell r="R227">
            <v>0</v>
          </cell>
          <cell r="S227">
            <v>0</v>
          </cell>
          <cell r="T227">
            <v>0</v>
          </cell>
          <cell r="U227">
            <v>0</v>
          </cell>
          <cell r="V227">
            <v>0</v>
          </cell>
          <cell r="W227">
            <v>10075.433000000001</v>
          </cell>
          <cell r="X227">
            <v>30226.299000000003</v>
          </cell>
          <cell r="Y227">
            <v>0</v>
          </cell>
        </row>
        <row r="228">
          <cell r="J228">
            <v>0</v>
          </cell>
          <cell r="K228">
            <v>0</v>
          </cell>
          <cell r="L228">
            <v>0</v>
          </cell>
          <cell r="M228">
            <v>0</v>
          </cell>
          <cell r="N228">
            <v>0</v>
          </cell>
          <cell r="O228">
            <v>0</v>
          </cell>
          <cell r="P228">
            <v>0</v>
          </cell>
          <cell r="Q228">
            <v>0</v>
          </cell>
          <cell r="R228">
            <v>0</v>
          </cell>
          <cell r="S228">
            <v>0</v>
          </cell>
          <cell r="T228">
            <v>0</v>
          </cell>
          <cell r="U228">
            <v>0</v>
          </cell>
          <cell r="V228">
            <v>0</v>
          </cell>
          <cell r="W228">
            <v>454.36</v>
          </cell>
          <cell r="X228">
            <v>1363.08</v>
          </cell>
          <cell r="Y228">
            <v>0</v>
          </cell>
        </row>
        <row r="229">
          <cell r="J229">
            <v>0</v>
          </cell>
          <cell r="K229">
            <v>0</v>
          </cell>
          <cell r="L229">
            <v>0</v>
          </cell>
          <cell r="M229">
            <v>0</v>
          </cell>
          <cell r="N229">
            <v>0</v>
          </cell>
          <cell r="O229">
            <v>0</v>
          </cell>
          <cell r="P229">
            <v>0</v>
          </cell>
          <cell r="Q229">
            <v>0</v>
          </cell>
          <cell r="R229">
            <v>0</v>
          </cell>
          <cell r="S229">
            <v>0</v>
          </cell>
          <cell r="T229">
            <v>0</v>
          </cell>
          <cell r="U229">
            <v>0</v>
          </cell>
          <cell r="V229">
            <v>0</v>
          </cell>
          <cell r="W229">
            <v>681.54</v>
          </cell>
          <cell r="X229">
            <v>2044.6200000000001</v>
          </cell>
          <cell r="Y229">
            <v>0</v>
          </cell>
        </row>
        <row r="230">
          <cell r="J230">
            <v>0</v>
          </cell>
          <cell r="K230">
            <v>0</v>
          </cell>
          <cell r="L230">
            <v>0</v>
          </cell>
          <cell r="M230">
            <v>0</v>
          </cell>
          <cell r="N230">
            <v>0</v>
          </cell>
          <cell r="O230">
            <v>0</v>
          </cell>
          <cell r="P230">
            <v>0</v>
          </cell>
          <cell r="Q230">
            <v>0</v>
          </cell>
          <cell r="R230">
            <v>0</v>
          </cell>
          <cell r="S230">
            <v>0</v>
          </cell>
          <cell r="T230">
            <v>0</v>
          </cell>
          <cell r="U230">
            <v>0</v>
          </cell>
          <cell r="V230">
            <v>0</v>
          </cell>
          <cell r="W230">
            <v>6070.2496000000001</v>
          </cell>
          <cell r="X230">
            <v>18210.748800000001</v>
          </cell>
          <cell r="Y230">
            <v>0</v>
          </cell>
        </row>
        <row r="231">
          <cell r="J231">
            <v>0</v>
          </cell>
          <cell r="K231">
            <v>0</v>
          </cell>
          <cell r="L231">
            <v>0</v>
          </cell>
          <cell r="M231">
            <v>0</v>
          </cell>
          <cell r="N231">
            <v>0</v>
          </cell>
          <cell r="O231">
            <v>0</v>
          </cell>
          <cell r="P231">
            <v>0</v>
          </cell>
          <cell r="Q231">
            <v>0</v>
          </cell>
          <cell r="R231">
            <v>0</v>
          </cell>
          <cell r="S231">
            <v>0</v>
          </cell>
          <cell r="T231">
            <v>0</v>
          </cell>
          <cell r="U231">
            <v>0</v>
          </cell>
          <cell r="V231">
            <v>0</v>
          </cell>
          <cell r="W231">
            <v>3216.8688000000002</v>
          </cell>
          <cell r="X231">
            <v>9650.6064000000006</v>
          </cell>
          <cell r="Y231">
            <v>0</v>
          </cell>
        </row>
        <row r="232">
          <cell r="J232">
            <v>0</v>
          </cell>
          <cell r="K232">
            <v>0</v>
          </cell>
          <cell r="L232">
            <v>0</v>
          </cell>
          <cell r="M232">
            <v>0</v>
          </cell>
          <cell r="N232">
            <v>0</v>
          </cell>
          <cell r="O232">
            <v>0</v>
          </cell>
          <cell r="P232">
            <v>0</v>
          </cell>
          <cell r="Q232">
            <v>0</v>
          </cell>
          <cell r="R232">
            <v>0</v>
          </cell>
          <cell r="S232">
            <v>0</v>
          </cell>
          <cell r="T232">
            <v>0</v>
          </cell>
          <cell r="U232">
            <v>0</v>
          </cell>
          <cell r="V232">
            <v>0</v>
          </cell>
          <cell r="W232">
            <v>1450.89</v>
          </cell>
          <cell r="X232">
            <v>4352.67</v>
          </cell>
          <cell r="Y232">
            <v>0</v>
          </cell>
        </row>
        <row r="233">
          <cell r="J233">
            <v>0</v>
          </cell>
          <cell r="K233">
            <v>0</v>
          </cell>
          <cell r="L233">
            <v>0</v>
          </cell>
          <cell r="M233">
            <v>0</v>
          </cell>
          <cell r="N233">
            <v>0</v>
          </cell>
          <cell r="O233">
            <v>0</v>
          </cell>
          <cell r="P233">
            <v>0</v>
          </cell>
          <cell r="Q233">
            <v>0</v>
          </cell>
          <cell r="R233">
            <v>0</v>
          </cell>
          <cell r="S233">
            <v>0</v>
          </cell>
          <cell r="T233">
            <v>0</v>
          </cell>
          <cell r="U233">
            <v>0</v>
          </cell>
          <cell r="V233">
            <v>0</v>
          </cell>
          <cell r="W233">
            <v>1712.2189499999999</v>
          </cell>
          <cell r="X233">
            <v>5136.6568499999994</v>
          </cell>
          <cell r="Y233">
            <v>0</v>
          </cell>
        </row>
        <row r="234">
          <cell r="J234">
            <v>0</v>
          </cell>
          <cell r="K234">
            <v>0</v>
          </cell>
          <cell r="L234">
            <v>0</v>
          </cell>
          <cell r="M234">
            <v>0</v>
          </cell>
          <cell r="N234">
            <v>0</v>
          </cell>
          <cell r="O234">
            <v>0</v>
          </cell>
          <cell r="P234">
            <v>0</v>
          </cell>
          <cell r="Q234">
            <v>0</v>
          </cell>
          <cell r="R234">
            <v>0</v>
          </cell>
          <cell r="S234">
            <v>0</v>
          </cell>
          <cell r="T234">
            <v>0</v>
          </cell>
          <cell r="U234">
            <v>0</v>
          </cell>
          <cell r="V234">
            <v>0</v>
          </cell>
          <cell r="W234">
            <v>597.69449999999995</v>
          </cell>
          <cell r="X234">
            <v>1793.0834999999997</v>
          </cell>
          <cell r="Y234">
            <v>0</v>
          </cell>
        </row>
        <row r="235">
          <cell r="J235">
            <v>0</v>
          </cell>
          <cell r="K235">
            <v>0</v>
          </cell>
          <cell r="L235">
            <v>0</v>
          </cell>
          <cell r="M235">
            <v>0</v>
          </cell>
          <cell r="N235">
            <v>0</v>
          </cell>
          <cell r="O235">
            <v>0</v>
          </cell>
          <cell r="P235">
            <v>0</v>
          </cell>
          <cell r="Q235">
            <v>0</v>
          </cell>
          <cell r="R235">
            <v>0</v>
          </cell>
          <cell r="S235">
            <v>0</v>
          </cell>
          <cell r="T235">
            <v>0</v>
          </cell>
          <cell r="U235">
            <v>0</v>
          </cell>
          <cell r="V235">
            <v>0</v>
          </cell>
          <cell r="W235">
            <v>602.96827499999995</v>
          </cell>
          <cell r="X235">
            <v>1808.9048250000001</v>
          </cell>
          <cell r="Y235">
            <v>0</v>
          </cell>
        </row>
        <row r="236">
          <cell r="J236">
            <v>0</v>
          </cell>
          <cell r="K236">
            <v>0</v>
          </cell>
          <cell r="L236">
            <v>0</v>
          </cell>
          <cell r="M236">
            <v>0</v>
          </cell>
          <cell r="N236">
            <v>0</v>
          </cell>
          <cell r="O236">
            <v>0</v>
          </cell>
          <cell r="P236">
            <v>0</v>
          </cell>
          <cell r="Q236">
            <v>0</v>
          </cell>
          <cell r="R236">
            <v>0</v>
          </cell>
          <cell r="S236">
            <v>0</v>
          </cell>
          <cell r="T236">
            <v>0</v>
          </cell>
          <cell r="U236">
            <v>0</v>
          </cell>
          <cell r="V236">
            <v>0</v>
          </cell>
          <cell r="W236">
            <v>615.27374999999995</v>
          </cell>
          <cell r="X236">
            <v>1845.82125</v>
          </cell>
          <cell r="Y236">
            <v>0</v>
          </cell>
        </row>
        <row r="238">
          <cell r="J238">
            <v>0</v>
          </cell>
          <cell r="K238">
            <v>0</v>
          </cell>
          <cell r="L238">
            <v>0</v>
          </cell>
          <cell r="M238">
            <v>0</v>
          </cell>
          <cell r="N238">
            <v>0</v>
          </cell>
          <cell r="O238">
            <v>0</v>
          </cell>
          <cell r="P238">
            <v>0</v>
          </cell>
          <cell r="Q238">
            <v>0</v>
          </cell>
          <cell r="R238">
            <v>0</v>
          </cell>
          <cell r="S238">
            <v>0</v>
          </cell>
          <cell r="T238">
            <v>0</v>
          </cell>
          <cell r="U238">
            <v>0</v>
          </cell>
          <cell r="V238">
            <v>10224.498371557422</v>
          </cell>
          <cell r="W238">
            <v>12012.012267292466</v>
          </cell>
          <cell r="X238">
            <v>15273.777887674076</v>
          </cell>
          <cell r="Y238">
            <v>19570.584773476017</v>
          </cell>
        </row>
        <row r="239">
          <cell r="J239">
            <v>0</v>
          </cell>
          <cell r="K239">
            <v>0</v>
          </cell>
          <cell r="L239">
            <v>0</v>
          </cell>
          <cell r="M239">
            <v>0</v>
          </cell>
          <cell r="N239">
            <v>0</v>
          </cell>
          <cell r="O239">
            <v>0</v>
          </cell>
          <cell r="P239">
            <v>0</v>
          </cell>
          <cell r="Q239">
            <v>0</v>
          </cell>
          <cell r="R239">
            <v>0</v>
          </cell>
          <cell r="S239">
            <v>0</v>
          </cell>
          <cell r="T239">
            <v>0</v>
          </cell>
          <cell r="U239">
            <v>0</v>
          </cell>
          <cell r="V239">
            <v>21752.438091270578</v>
          </cell>
          <cell r="W239">
            <v>25555.342052058219</v>
          </cell>
          <cell r="X239">
            <v>32494.690286780296</v>
          </cell>
          <cell r="Y239">
            <v>41636.070369890913</v>
          </cell>
        </row>
        <row r="240">
          <cell r="J240">
            <v>0</v>
          </cell>
          <cell r="K240">
            <v>0</v>
          </cell>
          <cell r="L240">
            <v>0</v>
          </cell>
          <cell r="M240">
            <v>0</v>
          </cell>
          <cell r="N240">
            <v>0</v>
          </cell>
          <cell r="O240">
            <v>0</v>
          </cell>
          <cell r="P240">
            <v>0</v>
          </cell>
          <cell r="Q240">
            <v>0</v>
          </cell>
          <cell r="R240">
            <v>0</v>
          </cell>
          <cell r="S240">
            <v>0</v>
          </cell>
          <cell r="T240">
            <v>0</v>
          </cell>
          <cell r="U240">
            <v>0</v>
          </cell>
          <cell r="V240">
            <v>220.99281015223934</v>
          </cell>
          <cell r="W240">
            <v>259.62822331867449</v>
          </cell>
          <cell r="X240">
            <v>330.12818569446154</v>
          </cell>
          <cell r="Y240">
            <v>422.99958083462462</v>
          </cell>
        </row>
        <row r="241">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row>
        <row r="242">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row>
        <row r="243">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row>
        <row r="246">
          <cell r="J246">
            <v>0</v>
          </cell>
          <cell r="K246">
            <v>0</v>
          </cell>
          <cell r="L246">
            <v>0</v>
          </cell>
          <cell r="M246">
            <v>0</v>
          </cell>
          <cell r="N246">
            <v>0</v>
          </cell>
          <cell r="O246">
            <v>0</v>
          </cell>
          <cell r="P246">
            <v>0</v>
          </cell>
          <cell r="Q246">
            <v>0</v>
          </cell>
          <cell r="R246">
            <v>0</v>
          </cell>
          <cell r="S246">
            <v>0</v>
          </cell>
          <cell r="T246">
            <v>30609.370783945469</v>
          </cell>
          <cell r="U246">
            <v>646620.34921605454</v>
          </cell>
          <cell r="V246">
            <v>0</v>
          </cell>
          <cell r="W246">
            <v>0</v>
          </cell>
          <cell r="X246">
            <v>0</v>
          </cell>
          <cell r="Y246">
            <v>0</v>
          </cell>
        </row>
        <row r="249">
          <cell r="J249">
            <v>0</v>
          </cell>
          <cell r="K249">
            <v>0</v>
          </cell>
          <cell r="L249">
            <v>0</v>
          </cell>
          <cell r="M249">
            <v>0</v>
          </cell>
          <cell r="N249">
            <v>0</v>
          </cell>
          <cell r="O249">
            <v>0</v>
          </cell>
          <cell r="P249">
            <v>0</v>
          </cell>
          <cell r="Q249">
            <v>0</v>
          </cell>
          <cell r="R249">
            <v>0</v>
          </cell>
          <cell r="S249">
            <v>0</v>
          </cell>
          <cell r="T249">
            <v>0</v>
          </cell>
          <cell r="U249">
            <v>5112.3704469234726</v>
          </cell>
          <cell r="V249">
            <v>11371.047693355971</v>
          </cell>
          <cell r="W249">
            <v>13065.400813909522</v>
          </cell>
          <cell r="X249">
            <v>13734.780514465743</v>
          </cell>
          <cell r="Y249">
            <v>23361.260531345291</v>
          </cell>
        </row>
        <row r="250">
          <cell r="J250">
            <v>0</v>
          </cell>
          <cell r="K250">
            <v>0</v>
          </cell>
          <cell r="L250">
            <v>0</v>
          </cell>
          <cell r="M250">
            <v>0</v>
          </cell>
          <cell r="N250">
            <v>0</v>
          </cell>
          <cell r="O250">
            <v>0</v>
          </cell>
          <cell r="P250">
            <v>0</v>
          </cell>
          <cell r="Q250">
            <v>0</v>
          </cell>
          <cell r="R250">
            <v>0</v>
          </cell>
          <cell r="S250">
            <v>0</v>
          </cell>
          <cell r="T250">
            <v>0</v>
          </cell>
          <cell r="U250">
            <v>10224.740893846945</v>
          </cell>
          <cell r="V250">
            <v>22742.095386711942</v>
          </cell>
          <cell r="W250">
            <v>26130.801627819044</v>
          </cell>
          <cell r="X250">
            <v>27469.561028931486</v>
          </cell>
          <cell r="Y250">
            <v>46722.521062690583</v>
          </cell>
        </row>
        <row r="251">
          <cell r="J251">
            <v>0</v>
          </cell>
          <cell r="K251">
            <v>0</v>
          </cell>
          <cell r="L251">
            <v>0</v>
          </cell>
          <cell r="M251">
            <v>0</v>
          </cell>
          <cell r="N251">
            <v>0</v>
          </cell>
          <cell r="O251">
            <v>0</v>
          </cell>
          <cell r="P251">
            <v>0</v>
          </cell>
          <cell r="Q251">
            <v>0</v>
          </cell>
          <cell r="R251">
            <v>0</v>
          </cell>
          <cell r="S251">
            <v>0</v>
          </cell>
          <cell r="T251">
            <v>0</v>
          </cell>
          <cell r="U251">
            <v>4308.9291934625971</v>
          </cell>
          <cell r="V251">
            <v>9584.0158444782828</v>
          </cell>
          <cell r="W251">
            <v>11012.09068783811</v>
          </cell>
          <cell r="X251">
            <v>11576.273147458905</v>
          </cell>
          <cell r="Y251">
            <v>19689.891126762104</v>
          </cell>
        </row>
        <row r="252">
          <cell r="J252">
            <v>0</v>
          </cell>
          <cell r="K252">
            <v>0</v>
          </cell>
          <cell r="L252">
            <v>0</v>
          </cell>
          <cell r="M252">
            <v>0</v>
          </cell>
          <cell r="N252">
            <v>0</v>
          </cell>
          <cell r="O252">
            <v>0</v>
          </cell>
          <cell r="P252">
            <v>0</v>
          </cell>
          <cell r="Q252">
            <v>0</v>
          </cell>
          <cell r="R252">
            <v>0</v>
          </cell>
          <cell r="S252">
            <v>0</v>
          </cell>
          <cell r="T252">
            <v>0</v>
          </cell>
          <cell r="U252">
            <v>735.78399547012225</v>
          </cell>
          <cell r="V252">
            <v>1636.5470756395707</v>
          </cell>
          <cell r="W252">
            <v>1880.402234752383</v>
          </cell>
          <cell r="X252">
            <v>1976.7408854184823</v>
          </cell>
          <cell r="Y252">
            <v>3362.2058087194423</v>
          </cell>
        </row>
        <row r="253">
          <cell r="J253">
            <v>0</v>
          </cell>
          <cell r="K253">
            <v>0</v>
          </cell>
          <cell r="L253">
            <v>0</v>
          </cell>
          <cell r="M253">
            <v>0</v>
          </cell>
          <cell r="N253">
            <v>0</v>
          </cell>
          <cell r="O253">
            <v>0</v>
          </cell>
          <cell r="P253">
            <v>0</v>
          </cell>
          <cell r="Q253">
            <v>0</v>
          </cell>
          <cell r="R253">
            <v>0</v>
          </cell>
          <cell r="S253">
            <v>0</v>
          </cell>
          <cell r="T253">
            <v>0</v>
          </cell>
          <cell r="U253">
            <v>1050.0122917606941</v>
          </cell>
          <cell r="V253">
            <v>2335.4606189396868</v>
          </cell>
          <cell r="W253">
            <v>2683.4580149881172</v>
          </cell>
          <cell r="X253">
            <v>2820.9396237127139</v>
          </cell>
          <cell r="Y253">
            <v>4798.0894505987872</v>
          </cell>
        </row>
        <row r="254">
          <cell r="J254">
            <v>0</v>
          </cell>
          <cell r="K254">
            <v>0</v>
          </cell>
          <cell r="L254">
            <v>0</v>
          </cell>
          <cell r="M254">
            <v>0</v>
          </cell>
          <cell r="N254">
            <v>0</v>
          </cell>
          <cell r="O254">
            <v>0</v>
          </cell>
          <cell r="P254">
            <v>0</v>
          </cell>
          <cell r="Q254">
            <v>0</v>
          </cell>
          <cell r="R254">
            <v>0</v>
          </cell>
          <cell r="S254">
            <v>0</v>
          </cell>
          <cell r="T254">
            <v>0</v>
          </cell>
          <cell r="U254">
            <v>1622.6442439218622</v>
          </cell>
          <cell r="V254">
            <v>3609.1213026412429</v>
          </cell>
          <cell r="W254">
            <v>4146.9016467655156</v>
          </cell>
          <cell r="X254">
            <v>4359.3598653907575</v>
          </cell>
          <cell r="Y254">
            <v>7414.7629412806236</v>
          </cell>
        </row>
        <row r="255">
          <cell r="J255">
            <v>0</v>
          </cell>
          <cell r="K255">
            <v>0</v>
          </cell>
          <cell r="L255">
            <v>0</v>
          </cell>
          <cell r="M255">
            <v>0</v>
          </cell>
          <cell r="N255">
            <v>0</v>
          </cell>
          <cell r="O255">
            <v>0</v>
          </cell>
          <cell r="P255">
            <v>0</v>
          </cell>
          <cell r="Q255">
            <v>0</v>
          </cell>
          <cell r="R255">
            <v>0</v>
          </cell>
          <cell r="S255">
            <v>0</v>
          </cell>
          <cell r="T255">
            <v>0</v>
          </cell>
          <cell r="U255">
            <v>4867.9327317655871</v>
          </cell>
          <cell r="V255">
            <v>10827.363907923727</v>
          </cell>
          <cell r="W255">
            <v>12440.704940296546</v>
          </cell>
          <cell r="X255">
            <v>13078.079596172271</v>
          </cell>
          <cell r="Y255">
            <v>22244.288823841871</v>
          </cell>
        </row>
        <row r="256">
          <cell r="J256">
            <v>0</v>
          </cell>
          <cell r="K256">
            <v>0</v>
          </cell>
          <cell r="L256">
            <v>0</v>
          </cell>
          <cell r="M256">
            <v>0</v>
          </cell>
          <cell r="N256">
            <v>0</v>
          </cell>
          <cell r="O256">
            <v>0</v>
          </cell>
          <cell r="P256">
            <v>0</v>
          </cell>
          <cell r="Q256">
            <v>0</v>
          </cell>
          <cell r="R256">
            <v>0</v>
          </cell>
          <cell r="S256">
            <v>0</v>
          </cell>
          <cell r="T256">
            <v>0</v>
          </cell>
          <cell r="U256">
            <v>8113.2212196093114</v>
          </cell>
          <cell r="V256">
            <v>18045.606513206214</v>
          </cell>
          <cell r="W256">
            <v>20734.508233827579</v>
          </cell>
          <cell r="X256">
            <v>21796.799326953784</v>
          </cell>
          <cell r="Y256">
            <v>37073.814706403122</v>
          </cell>
        </row>
        <row r="257">
          <cell r="J257">
            <v>0</v>
          </cell>
          <cell r="K257">
            <v>0</v>
          </cell>
          <cell r="L257">
            <v>0</v>
          </cell>
          <cell r="M257">
            <v>0</v>
          </cell>
          <cell r="N257">
            <v>0</v>
          </cell>
          <cell r="O257">
            <v>0</v>
          </cell>
          <cell r="P257">
            <v>0</v>
          </cell>
          <cell r="Q257">
            <v>0</v>
          </cell>
          <cell r="R257">
            <v>0</v>
          </cell>
          <cell r="S257">
            <v>0</v>
          </cell>
          <cell r="T257">
            <v>0</v>
          </cell>
          <cell r="U257">
            <v>8113.2212196093114</v>
          </cell>
          <cell r="V257">
            <v>18045.606513206214</v>
          </cell>
          <cell r="W257">
            <v>20734.508233827579</v>
          </cell>
          <cell r="X257">
            <v>21796.799326953784</v>
          </cell>
          <cell r="Y257">
            <v>37073.814706403122</v>
          </cell>
        </row>
        <row r="258">
          <cell r="J258">
            <v>0</v>
          </cell>
          <cell r="K258">
            <v>0</v>
          </cell>
          <cell r="L258">
            <v>0</v>
          </cell>
          <cell r="M258">
            <v>0</v>
          </cell>
          <cell r="N258">
            <v>0</v>
          </cell>
          <cell r="O258">
            <v>0</v>
          </cell>
          <cell r="P258">
            <v>0</v>
          </cell>
          <cell r="Q258">
            <v>0</v>
          </cell>
          <cell r="R258">
            <v>0</v>
          </cell>
          <cell r="S258">
            <v>0</v>
          </cell>
          <cell r="T258">
            <v>0</v>
          </cell>
          <cell r="U258">
            <v>30830.240634515379</v>
          </cell>
          <cell r="V258">
            <v>68573.304750183612</v>
          </cell>
          <cell r="W258">
            <v>78791.131288544799</v>
          </cell>
          <cell r="X258">
            <v>82827.837442424381</v>
          </cell>
          <cell r="Y258">
            <v>140880.49588433185</v>
          </cell>
        </row>
        <row r="259">
          <cell r="J259">
            <v>0</v>
          </cell>
          <cell r="K259">
            <v>0</v>
          </cell>
          <cell r="L259">
            <v>0</v>
          </cell>
          <cell r="M259">
            <v>0</v>
          </cell>
          <cell r="N259">
            <v>0</v>
          </cell>
          <cell r="O259">
            <v>0</v>
          </cell>
          <cell r="P259">
            <v>0</v>
          </cell>
          <cell r="Q259">
            <v>0</v>
          </cell>
          <cell r="R259">
            <v>0</v>
          </cell>
          <cell r="S259">
            <v>0</v>
          </cell>
          <cell r="T259">
            <v>0</v>
          </cell>
          <cell r="U259">
            <v>4867.9327317655871</v>
          </cell>
          <cell r="V259">
            <v>10827.363907923727</v>
          </cell>
          <cell r="W259">
            <v>12440.704940296546</v>
          </cell>
          <cell r="X259">
            <v>13078.079596172271</v>
          </cell>
          <cell r="Y259">
            <v>22244.288823841871</v>
          </cell>
        </row>
        <row r="260">
          <cell r="J260">
            <v>0</v>
          </cell>
          <cell r="K260">
            <v>0</v>
          </cell>
          <cell r="L260">
            <v>0</v>
          </cell>
          <cell r="M260">
            <v>0</v>
          </cell>
          <cell r="N260">
            <v>0</v>
          </cell>
          <cell r="O260">
            <v>0</v>
          </cell>
          <cell r="P260">
            <v>0</v>
          </cell>
          <cell r="Q260">
            <v>0</v>
          </cell>
          <cell r="R260">
            <v>0</v>
          </cell>
          <cell r="S260">
            <v>0</v>
          </cell>
          <cell r="T260">
            <v>0</v>
          </cell>
          <cell r="U260">
            <v>1622.6442439218622</v>
          </cell>
          <cell r="V260">
            <v>3609.1213026412429</v>
          </cell>
          <cell r="W260">
            <v>4146.9016467655156</v>
          </cell>
          <cell r="X260">
            <v>4359.3598653907575</v>
          </cell>
          <cell r="Y260">
            <v>7414.7629412806236</v>
          </cell>
        </row>
        <row r="261">
          <cell r="J261">
            <v>0</v>
          </cell>
          <cell r="K261">
            <v>0</v>
          </cell>
          <cell r="L261">
            <v>0</v>
          </cell>
          <cell r="M261">
            <v>0</v>
          </cell>
          <cell r="N261">
            <v>0</v>
          </cell>
          <cell r="O261">
            <v>0</v>
          </cell>
          <cell r="P261">
            <v>0</v>
          </cell>
          <cell r="Q261">
            <v>0</v>
          </cell>
          <cell r="R261">
            <v>0</v>
          </cell>
          <cell r="S261">
            <v>0</v>
          </cell>
          <cell r="T261">
            <v>0</v>
          </cell>
          <cell r="U261">
            <v>2785.7180595661252</v>
          </cell>
          <cell r="V261">
            <v>6196.0558696664475</v>
          </cell>
          <cell r="W261">
            <v>7119.3047101429138</v>
          </cell>
          <cell r="X261">
            <v>7484.0480596137204</v>
          </cell>
          <cell r="Y261">
            <v>12729.493301010798</v>
          </cell>
        </row>
        <row r="262">
          <cell r="J262">
            <v>0</v>
          </cell>
          <cell r="K262">
            <v>0</v>
          </cell>
          <cell r="L262">
            <v>0</v>
          </cell>
          <cell r="M262">
            <v>0</v>
          </cell>
          <cell r="N262">
            <v>0</v>
          </cell>
          <cell r="O262">
            <v>0</v>
          </cell>
          <cell r="P262">
            <v>0</v>
          </cell>
          <cell r="Q262">
            <v>0</v>
          </cell>
          <cell r="R262">
            <v>0</v>
          </cell>
          <cell r="S262">
            <v>0</v>
          </cell>
          <cell r="T262">
            <v>0</v>
          </cell>
          <cell r="U262">
            <v>1622.6442439218622</v>
          </cell>
          <cell r="V262">
            <v>3609.1213026412429</v>
          </cell>
          <cell r="W262">
            <v>4146.9016467655156</v>
          </cell>
          <cell r="X262">
            <v>4359.3598653907575</v>
          </cell>
          <cell r="Y262">
            <v>7414.7629412806236</v>
          </cell>
        </row>
        <row r="263">
          <cell r="J263">
            <v>0</v>
          </cell>
          <cell r="K263">
            <v>0</v>
          </cell>
          <cell r="L263">
            <v>0</v>
          </cell>
          <cell r="M263">
            <v>0</v>
          </cell>
          <cell r="N263">
            <v>0</v>
          </cell>
          <cell r="O263">
            <v>0</v>
          </cell>
          <cell r="P263">
            <v>0</v>
          </cell>
          <cell r="Q263">
            <v>0</v>
          </cell>
          <cell r="R263">
            <v>0</v>
          </cell>
          <cell r="S263">
            <v>0</v>
          </cell>
          <cell r="T263">
            <v>0</v>
          </cell>
          <cell r="U263">
            <v>1622.6442439218622</v>
          </cell>
          <cell r="V263">
            <v>3609.1213026412429</v>
          </cell>
          <cell r="W263">
            <v>4146.9016467655156</v>
          </cell>
          <cell r="X263">
            <v>4359.3598653907575</v>
          </cell>
          <cell r="Y263">
            <v>7414.7629412806236</v>
          </cell>
        </row>
        <row r="264">
          <cell r="J264">
            <v>0</v>
          </cell>
          <cell r="K264">
            <v>0</v>
          </cell>
          <cell r="L264">
            <v>0</v>
          </cell>
          <cell r="M264">
            <v>0</v>
          </cell>
          <cell r="N264">
            <v>0</v>
          </cell>
          <cell r="O264">
            <v>0</v>
          </cell>
          <cell r="P264">
            <v>0</v>
          </cell>
          <cell r="Q264">
            <v>0</v>
          </cell>
          <cell r="R264">
            <v>0</v>
          </cell>
          <cell r="S264">
            <v>0</v>
          </cell>
          <cell r="T264">
            <v>0</v>
          </cell>
          <cell r="U264">
            <v>1622.6442439218622</v>
          </cell>
          <cell r="V264">
            <v>3609.1213026412429</v>
          </cell>
          <cell r="W264">
            <v>4146.9016467655156</v>
          </cell>
          <cell r="X264">
            <v>4359.3598653907575</v>
          </cell>
          <cell r="Y264">
            <v>7414.7629412806236</v>
          </cell>
        </row>
        <row r="265">
          <cell r="J265">
            <v>0</v>
          </cell>
          <cell r="K265">
            <v>0</v>
          </cell>
          <cell r="L265">
            <v>0</v>
          </cell>
          <cell r="M265">
            <v>0</v>
          </cell>
          <cell r="N265">
            <v>0</v>
          </cell>
          <cell r="O265">
            <v>0</v>
          </cell>
          <cell r="P265">
            <v>0</v>
          </cell>
          <cell r="Q265">
            <v>0</v>
          </cell>
          <cell r="R265">
            <v>0</v>
          </cell>
          <cell r="S265">
            <v>0</v>
          </cell>
          <cell r="T265">
            <v>0</v>
          </cell>
          <cell r="U265">
            <v>15079.042910434888</v>
          </cell>
          <cell r="V265">
            <v>33539.14155573379</v>
          </cell>
          <cell r="W265">
            <v>38536.67130744247</v>
          </cell>
          <cell r="X265">
            <v>40511.020649465492</v>
          </cell>
          <cell r="Y265">
            <v>68904.523576923355</v>
          </cell>
        </row>
        <row r="266">
          <cell r="J266">
            <v>0</v>
          </cell>
          <cell r="K266">
            <v>0</v>
          </cell>
          <cell r="L266">
            <v>0</v>
          </cell>
          <cell r="M266">
            <v>0</v>
          </cell>
          <cell r="N266">
            <v>0</v>
          </cell>
          <cell r="O266">
            <v>0</v>
          </cell>
          <cell r="P266">
            <v>0</v>
          </cell>
          <cell r="Q266">
            <v>0</v>
          </cell>
          <cell r="R266">
            <v>0</v>
          </cell>
          <cell r="S266">
            <v>0</v>
          </cell>
          <cell r="T266">
            <v>0</v>
          </cell>
          <cell r="U266">
            <v>15079.042910434888</v>
          </cell>
          <cell r="V266">
            <v>33539.14155573379</v>
          </cell>
          <cell r="W266">
            <v>38536.67130744247</v>
          </cell>
          <cell r="X266">
            <v>40511.020649465492</v>
          </cell>
          <cell r="Y266">
            <v>68904.523576923355</v>
          </cell>
        </row>
        <row r="267">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row>
        <row r="268">
          <cell r="J268">
            <v>0</v>
          </cell>
          <cell r="K268">
            <v>0</v>
          </cell>
          <cell r="L268">
            <v>0</v>
          </cell>
          <cell r="M268">
            <v>0</v>
          </cell>
          <cell r="N268">
            <v>0</v>
          </cell>
          <cell r="O268">
            <v>0</v>
          </cell>
          <cell r="P268">
            <v>0</v>
          </cell>
          <cell r="Q268">
            <v>0</v>
          </cell>
          <cell r="R268">
            <v>0</v>
          </cell>
          <cell r="S268">
            <v>0</v>
          </cell>
          <cell r="T268">
            <v>0</v>
          </cell>
          <cell r="U268">
            <v>148.62995039275503</v>
          </cell>
          <cell r="V268">
            <v>330.58603090748375</v>
          </cell>
          <cell r="W268">
            <v>379.84529779164149</v>
          </cell>
          <cell r="X268">
            <v>399.3059125339592</v>
          </cell>
          <cell r="Y268">
            <v>679.17280837416058</v>
          </cell>
        </row>
        <row r="269">
          <cell r="J269">
            <v>0</v>
          </cell>
          <cell r="K269">
            <v>0</v>
          </cell>
          <cell r="L269">
            <v>0</v>
          </cell>
          <cell r="M269">
            <v>0</v>
          </cell>
          <cell r="N269">
            <v>0</v>
          </cell>
          <cell r="O269">
            <v>0</v>
          </cell>
          <cell r="P269">
            <v>0</v>
          </cell>
          <cell r="Q269">
            <v>0</v>
          </cell>
          <cell r="R269">
            <v>0</v>
          </cell>
          <cell r="S269">
            <v>0</v>
          </cell>
          <cell r="T269">
            <v>0</v>
          </cell>
          <cell r="U269">
            <v>161.33400093341183</v>
          </cell>
          <cell r="V269">
            <v>358.84266177889202</v>
          </cell>
          <cell r="W269">
            <v>412.31233319079394</v>
          </cell>
          <cell r="X269">
            <v>433.43633160904875</v>
          </cell>
          <cell r="Y269">
            <v>737.22467248785358</v>
          </cell>
        </row>
        <row r="270">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row>
        <row r="271">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row>
        <row r="272">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row>
        <row r="273">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row>
        <row r="274">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row>
        <row r="275">
          <cell r="J275">
            <v>0</v>
          </cell>
          <cell r="K275">
            <v>0</v>
          </cell>
          <cell r="L275">
            <v>0</v>
          </cell>
          <cell r="M275">
            <v>0</v>
          </cell>
          <cell r="N275">
            <v>0</v>
          </cell>
          <cell r="O275">
            <v>0</v>
          </cell>
          <cell r="P275">
            <v>0</v>
          </cell>
          <cell r="Q275">
            <v>0</v>
          </cell>
          <cell r="R275">
            <v>0</v>
          </cell>
          <cell r="S275">
            <v>0</v>
          </cell>
          <cell r="T275">
            <v>0</v>
          </cell>
          <cell r="U275">
            <v>1260.7026912108863</v>
          </cell>
          <cell r="V275">
            <v>2804.0828765701149</v>
          </cell>
          <cell r="W275">
            <v>3221.9077507884681</v>
          </cell>
          <cell r="X275">
            <v>3386.9757556786458</v>
          </cell>
          <cell r="Y275">
            <v>5760.8509257518863</v>
          </cell>
        </row>
        <row r="276">
          <cell r="J276">
            <v>0</v>
          </cell>
          <cell r="K276">
            <v>0</v>
          </cell>
          <cell r="L276">
            <v>0</v>
          </cell>
          <cell r="M276">
            <v>0</v>
          </cell>
          <cell r="N276">
            <v>0</v>
          </cell>
          <cell r="O276">
            <v>0</v>
          </cell>
          <cell r="P276">
            <v>0</v>
          </cell>
          <cell r="Q276">
            <v>0</v>
          </cell>
          <cell r="R276">
            <v>0</v>
          </cell>
          <cell r="S276">
            <v>0</v>
          </cell>
          <cell r="T276">
            <v>0</v>
          </cell>
          <cell r="U276">
            <v>822.42944034770971</v>
          </cell>
          <cell r="V276">
            <v>1829.2657951345552</v>
          </cell>
          <cell r="W276">
            <v>2101.8371792225034</v>
          </cell>
          <cell r="X276">
            <v>2209.5206067487425</v>
          </cell>
          <cell r="Y276">
            <v>3758.1369785464904</v>
          </cell>
        </row>
        <row r="277">
          <cell r="J277">
            <v>0</v>
          </cell>
          <cell r="K277">
            <v>0</v>
          </cell>
          <cell r="L277">
            <v>0</v>
          </cell>
          <cell r="M277">
            <v>0</v>
          </cell>
          <cell r="N277">
            <v>0</v>
          </cell>
          <cell r="O277">
            <v>0</v>
          </cell>
          <cell r="P277">
            <v>0</v>
          </cell>
          <cell r="Q277">
            <v>0</v>
          </cell>
          <cell r="R277">
            <v>0</v>
          </cell>
          <cell r="S277">
            <v>0</v>
          </cell>
          <cell r="T277">
            <v>0</v>
          </cell>
          <cell r="U277">
            <v>822.42944034770971</v>
          </cell>
          <cell r="V277">
            <v>1829.2657951345552</v>
          </cell>
          <cell r="W277">
            <v>2101.8371792225034</v>
          </cell>
          <cell r="X277">
            <v>2209.5206067487425</v>
          </cell>
          <cell r="Y277">
            <v>3758.1369785464904</v>
          </cell>
        </row>
        <row r="279">
          <cell r="J279">
            <v>0</v>
          </cell>
          <cell r="K279">
            <v>0</v>
          </cell>
          <cell r="L279">
            <v>0</v>
          </cell>
          <cell r="M279">
            <v>0</v>
          </cell>
          <cell r="N279">
            <v>0</v>
          </cell>
          <cell r="O279">
            <v>0</v>
          </cell>
          <cell r="P279">
            <v>0</v>
          </cell>
          <cell r="Q279">
            <v>0</v>
          </cell>
          <cell r="R279">
            <v>65077.910528104279</v>
          </cell>
          <cell r="S279">
            <v>164167.30096801498</v>
          </cell>
          <cell r="T279">
            <v>46732.555170547414</v>
          </cell>
          <cell r="U279">
            <v>98892.033375110404</v>
          </cell>
          <cell r="V279">
            <v>39096.849958222949</v>
          </cell>
          <cell r="W279">
            <v>0</v>
          </cell>
          <cell r="X279">
            <v>0</v>
          </cell>
          <cell r="Y279">
            <v>0</v>
          </cell>
        </row>
        <row r="280">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row>
        <row r="281">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row>
        <row r="282">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row>
        <row r="283">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row>
        <row r="284">
          <cell r="J284">
            <v>0</v>
          </cell>
          <cell r="K284">
            <v>0</v>
          </cell>
          <cell r="L284">
            <v>0</v>
          </cell>
          <cell r="M284">
            <v>0</v>
          </cell>
          <cell r="N284">
            <v>0</v>
          </cell>
          <cell r="O284">
            <v>0</v>
          </cell>
          <cell r="P284">
            <v>0</v>
          </cell>
          <cell r="Q284">
            <v>0</v>
          </cell>
          <cell r="R284">
            <v>8040.3916280189542</v>
          </cell>
          <cell r="S284">
            <v>20282.90984738453</v>
          </cell>
          <cell r="T284">
            <v>5773.8185245965196</v>
          </cell>
          <cell r="U284">
            <v>12218.134706147746</v>
          </cell>
          <cell r="V284">
            <v>4830.4252938522568</v>
          </cell>
          <cell r="W284">
            <v>0</v>
          </cell>
          <cell r="X284">
            <v>0</v>
          </cell>
          <cell r="Y284">
            <v>0</v>
          </cell>
        </row>
        <row r="285">
          <cell r="J285">
            <v>0</v>
          </cell>
          <cell r="K285">
            <v>0</v>
          </cell>
          <cell r="L285">
            <v>0</v>
          </cell>
          <cell r="M285">
            <v>0</v>
          </cell>
          <cell r="N285">
            <v>0</v>
          </cell>
          <cell r="O285">
            <v>0</v>
          </cell>
          <cell r="P285">
            <v>0</v>
          </cell>
          <cell r="Q285">
            <v>0</v>
          </cell>
          <cell r="R285">
            <v>15596.985906439742</v>
          </cell>
          <cell r="S285">
            <v>39345.379387843248</v>
          </cell>
          <cell r="T285">
            <v>11200.22137238367</v>
          </cell>
          <cell r="U285">
            <v>23701.0936321421</v>
          </cell>
          <cell r="V285">
            <v>9370.1997011912354</v>
          </cell>
          <cell r="W285">
            <v>0</v>
          </cell>
          <cell r="X285">
            <v>0</v>
          </cell>
          <cell r="Y285">
            <v>0</v>
          </cell>
        </row>
        <row r="286">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row>
        <row r="287">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row>
        <row r="289">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row>
        <row r="290">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row>
        <row r="291">
          <cell r="J291">
            <v>0</v>
          </cell>
          <cell r="K291">
            <v>0</v>
          </cell>
          <cell r="L291">
            <v>0</v>
          </cell>
          <cell r="M291">
            <v>0</v>
          </cell>
          <cell r="N291">
            <v>0</v>
          </cell>
          <cell r="O291">
            <v>0</v>
          </cell>
          <cell r="P291">
            <v>0</v>
          </cell>
          <cell r="Q291">
            <v>0</v>
          </cell>
          <cell r="R291">
            <v>370.6815714518022</v>
          </cell>
          <cell r="S291">
            <v>935.09137908698983</v>
          </cell>
          <cell r="T291">
            <v>266.18704946120795</v>
          </cell>
          <cell r="U291">
            <v>563.28566848684022</v>
          </cell>
          <cell r="V291">
            <v>222.69433151315985</v>
          </cell>
          <cell r="W291">
            <v>0</v>
          </cell>
          <cell r="X291">
            <v>0</v>
          </cell>
          <cell r="Y291">
            <v>0</v>
          </cell>
        </row>
        <row r="292">
          <cell r="J292">
            <v>0</v>
          </cell>
          <cell r="K292">
            <v>0</v>
          </cell>
          <cell r="L292">
            <v>0</v>
          </cell>
          <cell r="M292">
            <v>0</v>
          </cell>
          <cell r="N292">
            <v>0</v>
          </cell>
          <cell r="O292">
            <v>0</v>
          </cell>
          <cell r="P292">
            <v>0</v>
          </cell>
          <cell r="Q292">
            <v>0</v>
          </cell>
          <cell r="R292">
            <v>65.435294070713482</v>
          </cell>
          <cell r="S292">
            <v>165.06884637911423</v>
          </cell>
          <cell r="T292">
            <v>46.989192883505609</v>
          </cell>
          <cell r="U292">
            <v>99.435111432420825</v>
          </cell>
          <cell r="V292">
            <v>39.311555234245851</v>
          </cell>
          <cell r="W292">
            <v>0</v>
          </cell>
          <cell r="X292">
            <v>0</v>
          </cell>
          <cell r="Y292">
            <v>0</v>
          </cell>
        </row>
        <row r="293">
          <cell r="J293">
            <v>0</v>
          </cell>
          <cell r="K293">
            <v>0</v>
          </cell>
          <cell r="L293">
            <v>0</v>
          </cell>
          <cell r="M293">
            <v>0</v>
          </cell>
          <cell r="N293">
            <v>0</v>
          </cell>
          <cell r="O293">
            <v>0</v>
          </cell>
          <cell r="P293">
            <v>0</v>
          </cell>
          <cell r="Q293">
            <v>0</v>
          </cell>
          <cell r="R293">
            <v>111.78267394272902</v>
          </cell>
          <cell r="S293">
            <v>281.98600304231445</v>
          </cell>
          <cell r="T293">
            <v>80.271323014956508</v>
          </cell>
          <cell r="U293">
            <v>169.86433388222457</v>
          </cell>
          <cell r="V293">
            <v>67.155666117775453</v>
          </cell>
          <cell r="W293">
            <v>0</v>
          </cell>
          <cell r="X293">
            <v>0</v>
          </cell>
          <cell r="Y293">
            <v>0</v>
          </cell>
        </row>
        <row r="294">
          <cell r="J294">
            <v>0</v>
          </cell>
          <cell r="K294">
            <v>0</v>
          </cell>
          <cell r="L294">
            <v>0</v>
          </cell>
          <cell r="M294">
            <v>0</v>
          </cell>
          <cell r="N294">
            <v>0</v>
          </cell>
          <cell r="O294">
            <v>0</v>
          </cell>
          <cell r="P294">
            <v>0</v>
          </cell>
          <cell r="Q294">
            <v>0</v>
          </cell>
          <cell r="R294">
            <v>396.63937405836623</v>
          </cell>
          <cell r="S294">
            <v>1000.5732355018449</v>
          </cell>
          <cell r="T294">
            <v>284.8273904397887</v>
          </cell>
          <cell r="U294">
            <v>602.73100194763515</v>
          </cell>
          <cell r="V294">
            <v>238.2889980523648</v>
          </cell>
          <cell r="W294">
            <v>0</v>
          </cell>
          <cell r="X294">
            <v>0</v>
          </cell>
          <cell r="Y294">
            <v>0</v>
          </cell>
        </row>
        <row r="295">
          <cell r="J295">
            <v>0</v>
          </cell>
          <cell r="K295">
            <v>0</v>
          </cell>
          <cell r="L295">
            <v>0</v>
          </cell>
          <cell r="M295">
            <v>0</v>
          </cell>
          <cell r="N295">
            <v>0</v>
          </cell>
          <cell r="O295">
            <v>0</v>
          </cell>
          <cell r="P295">
            <v>0</v>
          </cell>
          <cell r="Q295">
            <v>0</v>
          </cell>
          <cell r="R295">
            <v>2718.8408703973082</v>
          </cell>
          <cell r="S295">
            <v>6858.6216710491663</v>
          </cell>
          <cell r="T295">
            <v>1952.4041252201921</v>
          </cell>
          <cell r="U295">
            <v>4131.5355689059952</v>
          </cell>
          <cell r="V295">
            <v>1633.397764427338</v>
          </cell>
          <cell r="W295">
            <v>0</v>
          </cell>
          <cell r="X295">
            <v>0</v>
          </cell>
          <cell r="Y295">
            <v>0</v>
          </cell>
        </row>
        <row r="296">
          <cell r="J296">
            <v>0</v>
          </cell>
          <cell r="K296">
            <v>0</v>
          </cell>
          <cell r="L296">
            <v>0</v>
          </cell>
          <cell r="M296">
            <v>0</v>
          </cell>
          <cell r="N296">
            <v>0</v>
          </cell>
          <cell r="O296">
            <v>0</v>
          </cell>
          <cell r="P296">
            <v>0</v>
          </cell>
          <cell r="Q296">
            <v>0</v>
          </cell>
          <cell r="R296">
            <v>569.65051795751822</v>
          </cell>
          <cell r="S296">
            <v>1437.0158363909243</v>
          </cell>
          <cell r="T296">
            <v>409.06697898489068</v>
          </cell>
          <cell r="U296">
            <v>865.63778057495699</v>
          </cell>
          <cell r="V296">
            <v>342.22888609170974</v>
          </cell>
          <cell r="W296">
            <v>0</v>
          </cell>
          <cell r="X296">
            <v>0</v>
          </cell>
          <cell r="Y296">
            <v>0</v>
          </cell>
        </row>
        <row r="297">
          <cell r="J297">
            <v>0</v>
          </cell>
          <cell r="K297">
            <v>0</v>
          </cell>
          <cell r="L297">
            <v>0</v>
          </cell>
          <cell r="M297">
            <v>0</v>
          </cell>
          <cell r="N297">
            <v>0</v>
          </cell>
          <cell r="O297">
            <v>0</v>
          </cell>
          <cell r="P297">
            <v>0</v>
          </cell>
          <cell r="Q297">
            <v>0</v>
          </cell>
          <cell r="R297">
            <v>374.56769596993604</v>
          </cell>
          <cell r="S297">
            <v>944.89462212584169</v>
          </cell>
          <cell r="T297">
            <v>268.97768190422227</v>
          </cell>
          <cell r="U297">
            <v>569.1910018392557</v>
          </cell>
          <cell r="V297">
            <v>225.02899816074432</v>
          </cell>
          <cell r="W297">
            <v>0</v>
          </cell>
          <cell r="X297">
            <v>0</v>
          </cell>
          <cell r="Y297">
            <v>0</v>
          </cell>
        </row>
        <row r="298">
          <cell r="J298">
            <v>0</v>
          </cell>
          <cell r="K298">
            <v>0</v>
          </cell>
          <cell r="L298">
            <v>0</v>
          </cell>
          <cell r="M298">
            <v>0</v>
          </cell>
          <cell r="N298">
            <v>0</v>
          </cell>
          <cell r="O298">
            <v>0</v>
          </cell>
          <cell r="P298">
            <v>0</v>
          </cell>
          <cell r="Q298">
            <v>0</v>
          </cell>
          <cell r="R298">
            <v>762.73053952596501</v>
          </cell>
          <cell r="S298">
            <v>1924.0847320348514</v>
          </cell>
          <cell r="T298">
            <v>547.7180617725171</v>
          </cell>
          <cell r="U298">
            <v>1159.0411148563794</v>
          </cell>
          <cell r="V298">
            <v>458.22555181028736</v>
          </cell>
          <cell r="W298">
            <v>0</v>
          </cell>
          <cell r="X298">
            <v>0</v>
          </cell>
          <cell r="Y298">
            <v>0</v>
          </cell>
        </row>
        <row r="299">
          <cell r="J299">
            <v>0</v>
          </cell>
          <cell r="K299">
            <v>0</v>
          </cell>
          <cell r="L299">
            <v>0</v>
          </cell>
          <cell r="M299">
            <v>0</v>
          </cell>
          <cell r="N299">
            <v>0</v>
          </cell>
          <cell r="O299">
            <v>0</v>
          </cell>
          <cell r="P299">
            <v>0</v>
          </cell>
          <cell r="Q299">
            <v>0</v>
          </cell>
          <cell r="R299">
            <v>35.157479257097741</v>
          </cell>
          <cell r="S299">
            <v>88.689210081263468</v>
          </cell>
          <cell r="T299">
            <v>25.246643994972114</v>
          </cell>
          <cell r="U299">
            <v>53.425111283746375</v>
          </cell>
          <cell r="V299">
            <v>21.121555382920288</v>
          </cell>
          <cell r="W299">
            <v>0</v>
          </cell>
          <cell r="X299">
            <v>0</v>
          </cell>
          <cell r="Y299">
            <v>0</v>
          </cell>
        </row>
        <row r="300">
          <cell r="J300">
            <v>0</v>
          </cell>
          <cell r="K300">
            <v>0</v>
          </cell>
          <cell r="L300">
            <v>0</v>
          </cell>
          <cell r="M300">
            <v>0</v>
          </cell>
          <cell r="N300">
            <v>0</v>
          </cell>
          <cell r="O300">
            <v>0</v>
          </cell>
          <cell r="P300">
            <v>0</v>
          </cell>
          <cell r="Q300">
            <v>0</v>
          </cell>
          <cell r="R300">
            <v>26.280074259564607</v>
          </cell>
          <cell r="S300">
            <v>66.294827621556138</v>
          </cell>
          <cell r="T300">
            <v>18.871764785545913</v>
          </cell>
          <cell r="U300">
            <v>39.935055684599725</v>
          </cell>
          <cell r="V300">
            <v>15.78827764873361</v>
          </cell>
          <cell r="W300">
            <v>0</v>
          </cell>
          <cell r="X300">
            <v>0</v>
          </cell>
          <cell r="Y300">
            <v>0</v>
          </cell>
        </row>
        <row r="301">
          <cell r="J301">
            <v>0</v>
          </cell>
          <cell r="K301">
            <v>0</v>
          </cell>
          <cell r="L301">
            <v>0</v>
          </cell>
          <cell r="M301">
            <v>0</v>
          </cell>
          <cell r="N301">
            <v>0</v>
          </cell>
          <cell r="O301">
            <v>0</v>
          </cell>
          <cell r="P301">
            <v>0</v>
          </cell>
          <cell r="Q301">
            <v>0</v>
          </cell>
          <cell r="R301">
            <v>26.102431836203312</v>
          </cell>
          <cell r="S301">
            <v>65.846702029569784</v>
          </cell>
          <cell r="T301">
            <v>18.744199467560229</v>
          </cell>
          <cell r="U301">
            <v>39.665111239282993</v>
          </cell>
          <cell r="V301">
            <v>15.681555427383675</v>
          </cell>
          <cell r="W301">
            <v>0</v>
          </cell>
          <cell r="X301">
            <v>0</v>
          </cell>
          <cell r="Y301">
            <v>0</v>
          </cell>
        </row>
        <row r="302">
          <cell r="J302">
            <v>0</v>
          </cell>
          <cell r="K302">
            <v>0</v>
          </cell>
          <cell r="L302">
            <v>0</v>
          </cell>
          <cell r="M302">
            <v>0</v>
          </cell>
          <cell r="N302">
            <v>0</v>
          </cell>
          <cell r="O302">
            <v>0</v>
          </cell>
          <cell r="P302">
            <v>0</v>
          </cell>
          <cell r="Q302">
            <v>0</v>
          </cell>
          <cell r="R302">
            <v>71.379240997519361</v>
          </cell>
          <cell r="S302">
            <v>180.06320800124163</v>
          </cell>
          <cell r="T302">
            <v>51.257551001239001</v>
          </cell>
          <cell r="U302">
            <v>108.46750035049654</v>
          </cell>
          <cell r="V302">
            <v>42.88249964950348</v>
          </cell>
          <cell r="W302">
            <v>0</v>
          </cell>
          <cell r="X302">
            <v>0</v>
          </cell>
          <cell r="Y302">
            <v>0</v>
          </cell>
        </row>
        <row r="304">
          <cell r="J304">
            <v>0</v>
          </cell>
          <cell r="K304">
            <v>0</v>
          </cell>
          <cell r="L304">
            <v>0</v>
          </cell>
          <cell r="M304">
            <v>0</v>
          </cell>
          <cell r="N304">
            <v>0</v>
          </cell>
          <cell r="O304">
            <v>0</v>
          </cell>
          <cell r="P304">
            <v>0</v>
          </cell>
          <cell r="Q304">
            <v>0</v>
          </cell>
          <cell r="R304">
            <v>288.08098870248693</v>
          </cell>
          <cell r="S304">
            <v>726.72091023974292</v>
          </cell>
          <cell r="T304">
            <v>206.87143439110335</v>
          </cell>
          <cell r="U304">
            <v>437.76627919235415</v>
          </cell>
          <cell r="V304">
            <v>173.07038747431255</v>
          </cell>
          <cell r="W304">
            <v>0</v>
          </cell>
          <cell r="X304">
            <v>0</v>
          </cell>
          <cell r="Y304">
            <v>0</v>
          </cell>
        </row>
        <row r="305">
          <cell r="J305">
            <v>0</v>
          </cell>
          <cell r="K305">
            <v>0</v>
          </cell>
          <cell r="L305">
            <v>0</v>
          </cell>
          <cell r="M305">
            <v>0</v>
          </cell>
          <cell r="N305">
            <v>0</v>
          </cell>
          <cell r="O305">
            <v>0</v>
          </cell>
          <cell r="P305">
            <v>0</v>
          </cell>
          <cell r="Q305">
            <v>0</v>
          </cell>
          <cell r="R305">
            <v>2083.0866355196163</v>
          </cell>
          <cell r="S305">
            <v>5254.850806682166</v>
          </cell>
          <cell r="T305">
            <v>1495.8679577982175</v>
          </cell>
          <cell r="U305">
            <v>3165.4469452286689</v>
          </cell>
          <cell r="V305">
            <v>1251.4557547713309</v>
          </cell>
          <cell r="W305">
            <v>0</v>
          </cell>
          <cell r="X305">
            <v>0</v>
          </cell>
          <cell r="Y305">
            <v>0</v>
          </cell>
        </row>
        <row r="306">
          <cell r="J306">
            <v>0</v>
          </cell>
          <cell r="K306">
            <v>0</v>
          </cell>
          <cell r="L306">
            <v>0</v>
          </cell>
          <cell r="M306">
            <v>0</v>
          </cell>
          <cell r="N306">
            <v>0</v>
          </cell>
          <cell r="O306">
            <v>0</v>
          </cell>
          <cell r="P306">
            <v>0</v>
          </cell>
          <cell r="Q306">
            <v>0</v>
          </cell>
          <cell r="R306">
            <v>6693.5832232179182</v>
          </cell>
          <cell r="S306">
            <v>16885.414461577089</v>
          </cell>
          <cell r="T306">
            <v>4806.6731818716571</v>
          </cell>
          <cell r="U306">
            <v>10171.532093423342</v>
          </cell>
          <cell r="V306">
            <v>4021.3033399099909</v>
          </cell>
          <cell r="W306">
            <v>0</v>
          </cell>
          <cell r="X306">
            <v>0</v>
          </cell>
          <cell r="Y306">
            <v>0</v>
          </cell>
        </row>
        <row r="307">
          <cell r="J307">
            <v>0</v>
          </cell>
          <cell r="K307">
            <v>0</v>
          </cell>
          <cell r="L307">
            <v>0</v>
          </cell>
          <cell r="M307">
            <v>0</v>
          </cell>
          <cell r="N307">
            <v>0</v>
          </cell>
          <cell r="O307">
            <v>0</v>
          </cell>
          <cell r="P307">
            <v>0</v>
          </cell>
          <cell r="Q307">
            <v>0</v>
          </cell>
          <cell r="R307">
            <v>4982.712769599988</v>
          </cell>
          <cell r="S307">
            <v>12569.526283896826</v>
          </cell>
          <cell r="T307">
            <v>3578.0942798365172</v>
          </cell>
          <cell r="U307">
            <v>7571.7028022446048</v>
          </cell>
          <cell r="V307">
            <v>2993.4638644220627</v>
          </cell>
          <cell r="W307">
            <v>0</v>
          </cell>
          <cell r="X307">
            <v>0</v>
          </cell>
          <cell r="Y307">
            <v>0</v>
          </cell>
        </row>
        <row r="308">
          <cell r="J308">
            <v>0</v>
          </cell>
          <cell r="K308">
            <v>0</v>
          </cell>
          <cell r="L308">
            <v>0</v>
          </cell>
          <cell r="M308">
            <v>0</v>
          </cell>
          <cell r="N308">
            <v>0</v>
          </cell>
          <cell r="O308">
            <v>0</v>
          </cell>
          <cell r="P308">
            <v>0</v>
          </cell>
          <cell r="Q308">
            <v>0</v>
          </cell>
          <cell r="R308">
            <v>14599.588546610872</v>
          </cell>
          <cell r="S308">
            <v>36829.317774509524</v>
          </cell>
          <cell r="T308">
            <v>10483.988678879599</v>
          </cell>
          <cell r="U308">
            <v>22185.454113355649</v>
          </cell>
          <cell r="V308">
            <v>8770.9933866443534</v>
          </cell>
          <cell r="W308">
            <v>0</v>
          </cell>
          <cell r="X308">
            <v>0</v>
          </cell>
          <cell r="Y308">
            <v>0</v>
          </cell>
        </row>
        <row r="309">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row>
        <row r="311">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13574.81</v>
          </cell>
        </row>
        <row r="314">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row>
        <row r="315">
          <cell r="J315">
            <v>0</v>
          </cell>
          <cell r="K315">
            <v>0</v>
          </cell>
          <cell r="L315">
            <v>0</v>
          </cell>
          <cell r="M315">
            <v>0</v>
          </cell>
          <cell r="N315">
            <v>5018.7</v>
          </cell>
          <cell r="O315">
            <v>0</v>
          </cell>
          <cell r="P315">
            <v>0</v>
          </cell>
          <cell r="Q315">
            <v>0</v>
          </cell>
          <cell r="R315">
            <v>0</v>
          </cell>
          <cell r="S315">
            <v>0</v>
          </cell>
          <cell r="T315">
            <v>0</v>
          </cell>
          <cell r="U315">
            <v>0</v>
          </cell>
          <cell r="V315">
            <v>0</v>
          </cell>
          <cell r="W315">
            <v>0</v>
          </cell>
          <cell r="X315">
            <v>0</v>
          </cell>
          <cell r="Y315">
            <v>0</v>
          </cell>
        </row>
        <row r="316">
          <cell r="J316">
            <v>0</v>
          </cell>
          <cell r="K316">
            <v>0</v>
          </cell>
          <cell r="L316">
            <v>0</v>
          </cell>
          <cell r="M316">
            <v>0</v>
          </cell>
          <cell r="N316">
            <v>0</v>
          </cell>
          <cell r="O316">
            <v>0</v>
          </cell>
          <cell r="P316">
            <v>0</v>
          </cell>
          <cell r="Q316">
            <v>0</v>
          </cell>
          <cell r="R316">
            <v>0</v>
          </cell>
          <cell r="S316">
            <v>0</v>
          </cell>
          <cell r="T316">
            <v>0</v>
          </cell>
          <cell r="U316">
            <v>0</v>
          </cell>
          <cell r="V316">
            <v>468731.36</v>
          </cell>
          <cell r="W316">
            <v>0</v>
          </cell>
          <cell r="X316">
            <v>0</v>
          </cell>
          <cell r="Y316">
            <v>0</v>
          </cell>
        </row>
        <row r="317">
          <cell r="J317">
            <v>0</v>
          </cell>
          <cell r="K317">
            <v>0</v>
          </cell>
          <cell r="L317">
            <v>0</v>
          </cell>
          <cell r="M317">
            <v>0</v>
          </cell>
          <cell r="N317">
            <v>0</v>
          </cell>
          <cell r="O317">
            <v>0</v>
          </cell>
          <cell r="P317">
            <v>0</v>
          </cell>
          <cell r="Q317">
            <v>0</v>
          </cell>
          <cell r="R317">
            <v>0</v>
          </cell>
          <cell r="S317">
            <v>0</v>
          </cell>
          <cell r="T317">
            <v>0</v>
          </cell>
          <cell r="U317">
            <v>0</v>
          </cell>
          <cell r="V317">
            <v>124023.22</v>
          </cell>
          <cell r="W317">
            <v>0</v>
          </cell>
          <cell r="X317">
            <v>0</v>
          </cell>
          <cell r="Y317">
            <v>0</v>
          </cell>
        </row>
        <row r="318">
          <cell r="J318">
            <v>0</v>
          </cell>
          <cell r="K318">
            <v>0</v>
          </cell>
          <cell r="L318">
            <v>0</v>
          </cell>
          <cell r="M318">
            <v>0</v>
          </cell>
          <cell r="N318">
            <v>0</v>
          </cell>
          <cell r="O318">
            <v>0</v>
          </cell>
          <cell r="P318">
            <v>0</v>
          </cell>
          <cell r="Q318">
            <v>0</v>
          </cell>
          <cell r="R318">
            <v>0</v>
          </cell>
          <cell r="S318">
            <v>0</v>
          </cell>
          <cell r="T318">
            <v>0</v>
          </cell>
          <cell r="U318">
            <v>0</v>
          </cell>
          <cell r="V318">
            <v>960494.49</v>
          </cell>
          <cell r="W318">
            <v>0</v>
          </cell>
          <cell r="X318">
            <v>0</v>
          </cell>
          <cell r="Y318">
            <v>0</v>
          </cell>
        </row>
        <row r="320">
          <cell r="J320">
            <v>0</v>
          </cell>
          <cell r="K320">
            <v>0</v>
          </cell>
          <cell r="L320">
            <v>0</v>
          </cell>
          <cell r="M320">
            <v>0</v>
          </cell>
          <cell r="N320">
            <v>0</v>
          </cell>
          <cell r="O320">
            <v>0</v>
          </cell>
          <cell r="P320">
            <v>0</v>
          </cell>
          <cell r="Q320">
            <v>0</v>
          </cell>
          <cell r="R320">
            <v>0</v>
          </cell>
          <cell r="S320">
            <v>0</v>
          </cell>
          <cell r="T320">
            <v>7.8719997967937498</v>
          </cell>
          <cell r="U320">
            <v>41.328000203206244</v>
          </cell>
          <cell r="V320">
            <v>0</v>
          </cell>
          <cell r="W320">
            <v>0</v>
          </cell>
          <cell r="X320">
            <v>0</v>
          </cell>
          <cell r="Y320">
            <v>0</v>
          </cell>
        </row>
        <row r="321">
          <cell r="J321">
            <v>0</v>
          </cell>
          <cell r="K321">
            <v>0</v>
          </cell>
          <cell r="L321">
            <v>0</v>
          </cell>
          <cell r="M321">
            <v>0</v>
          </cell>
          <cell r="N321">
            <v>0</v>
          </cell>
          <cell r="O321">
            <v>0</v>
          </cell>
          <cell r="P321">
            <v>0</v>
          </cell>
          <cell r="Q321">
            <v>0</v>
          </cell>
          <cell r="R321">
            <v>0</v>
          </cell>
          <cell r="S321">
            <v>0</v>
          </cell>
          <cell r="T321">
            <v>1435.4879629445968</v>
          </cell>
          <cell r="U321">
            <v>7536.3120370554034</v>
          </cell>
          <cell r="V321">
            <v>0</v>
          </cell>
          <cell r="W321">
            <v>0</v>
          </cell>
          <cell r="X321">
            <v>0</v>
          </cell>
          <cell r="Y321">
            <v>0</v>
          </cell>
        </row>
        <row r="322">
          <cell r="J322">
            <v>0</v>
          </cell>
          <cell r="K322">
            <v>0</v>
          </cell>
          <cell r="L322">
            <v>0</v>
          </cell>
          <cell r="M322">
            <v>0</v>
          </cell>
          <cell r="N322">
            <v>0</v>
          </cell>
          <cell r="O322">
            <v>0</v>
          </cell>
          <cell r="P322">
            <v>0</v>
          </cell>
          <cell r="Q322">
            <v>0</v>
          </cell>
          <cell r="R322">
            <v>0</v>
          </cell>
          <cell r="S322">
            <v>0</v>
          </cell>
          <cell r="T322">
            <v>393.69598983720937</v>
          </cell>
          <cell r="U322">
            <v>2066.9040101627907</v>
          </cell>
          <cell r="V322">
            <v>0</v>
          </cell>
          <cell r="W322">
            <v>0</v>
          </cell>
          <cell r="X322">
            <v>0</v>
          </cell>
          <cell r="Y322">
            <v>0</v>
          </cell>
        </row>
        <row r="323">
          <cell r="J323">
            <v>0</v>
          </cell>
          <cell r="K323">
            <v>0</v>
          </cell>
          <cell r="L323">
            <v>0</v>
          </cell>
          <cell r="M323">
            <v>0</v>
          </cell>
          <cell r="N323">
            <v>0</v>
          </cell>
          <cell r="O323">
            <v>0</v>
          </cell>
          <cell r="P323">
            <v>0</v>
          </cell>
          <cell r="Q323">
            <v>0</v>
          </cell>
          <cell r="R323">
            <v>0</v>
          </cell>
          <cell r="S323">
            <v>0</v>
          </cell>
          <cell r="T323">
            <v>669.18398272581669</v>
          </cell>
          <cell r="U323">
            <v>3513.2160172741837</v>
          </cell>
          <cell r="V323">
            <v>0</v>
          </cell>
          <cell r="W323">
            <v>0</v>
          </cell>
          <cell r="X323">
            <v>0</v>
          </cell>
          <cell r="Y323">
            <v>0</v>
          </cell>
        </row>
        <row r="324">
          <cell r="J324">
            <v>0</v>
          </cell>
          <cell r="K324">
            <v>0</v>
          </cell>
          <cell r="L324">
            <v>0</v>
          </cell>
          <cell r="M324">
            <v>0</v>
          </cell>
          <cell r="N324">
            <v>0</v>
          </cell>
          <cell r="O324">
            <v>0</v>
          </cell>
          <cell r="P324">
            <v>0</v>
          </cell>
          <cell r="Q324">
            <v>0</v>
          </cell>
          <cell r="R324">
            <v>0</v>
          </cell>
          <cell r="S324">
            <v>0</v>
          </cell>
          <cell r="T324">
            <v>316.17599183829532</v>
          </cell>
          <cell r="U324">
            <v>1659.9240081617047</v>
          </cell>
          <cell r="V324">
            <v>0</v>
          </cell>
          <cell r="W324">
            <v>0</v>
          </cell>
          <cell r="X324">
            <v>0</v>
          </cell>
          <cell r="Y324">
            <v>0</v>
          </cell>
        </row>
        <row r="325">
          <cell r="J325">
            <v>0</v>
          </cell>
          <cell r="K325">
            <v>0</v>
          </cell>
          <cell r="L325">
            <v>0</v>
          </cell>
          <cell r="M325">
            <v>0</v>
          </cell>
          <cell r="N325">
            <v>0</v>
          </cell>
          <cell r="O325">
            <v>0</v>
          </cell>
          <cell r="P325">
            <v>0</v>
          </cell>
          <cell r="Q325">
            <v>0</v>
          </cell>
          <cell r="R325">
            <v>0</v>
          </cell>
          <cell r="S325">
            <v>0</v>
          </cell>
          <cell r="T325">
            <v>1352.9423650754127</v>
          </cell>
          <cell r="U325">
            <v>7102.9476349245879</v>
          </cell>
          <cell r="V325">
            <v>0</v>
          </cell>
          <cell r="W325">
            <v>0</v>
          </cell>
          <cell r="X325">
            <v>0</v>
          </cell>
          <cell r="Y325">
            <v>0</v>
          </cell>
        </row>
        <row r="326">
          <cell r="J326">
            <v>0</v>
          </cell>
          <cell r="K326">
            <v>0</v>
          </cell>
          <cell r="L326">
            <v>0</v>
          </cell>
          <cell r="M326">
            <v>0</v>
          </cell>
          <cell r="N326">
            <v>0</v>
          </cell>
          <cell r="O326">
            <v>0</v>
          </cell>
          <cell r="P326">
            <v>0</v>
          </cell>
          <cell r="Q326">
            <v>0</v>
          </cell>
          <cell r="R326">
            <v>0</v>
          </cell>
          <cell r="S326">
            <v>0</v>
          </cell>
          <cell r="T326">
            <v>118.10879695116282</v>
          </cell>
          <cell r="U326">
            <v>620.07120304883722</v>
          </cell>
          <cell r="V326">
            <v>0</v>
          </cell>
          <cell r="W326">
            <v>0</v>
          </cell>
          <cell r="X326">
            <v>0</v>
          </cell>
          <cell r="Y326">
            <v>0</v>
          </cell>
        </row>
        <row r="327">
          <cell r="J327">
            <v>0</v>
          </cell>
          <cell r="K327">
            <v>0</v>
          </cell>
          <cell r="L327">
            <v>0</v>
          </cell>
          <cell r="M327">
            <v>0</v>
          </cell>
          <cell r="N327">
            <v>0</v>
          </cell>
          <cell r="O327">
            <v>0</v>
          </cell>
          <cell r="P327">
            <v>0</v>
          </cell>
          <cell r="Q327">
            <v>0</v>
          </cell>
          <cell r="R327">
            <v>0</v>
          </cell>
          <cell r="S327">
            <v>0</v>
          </cell>
          <cell r="T327">
            <v>473.88798776714896</v>
          </cell>
          <cell r="U327">
            <v>2487.9120122328513</v>
          </cell>
          <cell r="V327">
            <v>0</v>
          </cell>
          <cell r="W327">
            <v>0</v>
          </cell>
          <cell r="X327">
            <v>0</v>
          </cell>
          <cell r="Y327">
            <v>0</v>
          </cell>
        </row>
        <row r="328">
          <cell r="J328">
            <v>0</v>
          </cell>
          <cell r="K328">
            <v>0</v>
          </cell>
          <cell r="L328">
            <v>0</v>
          </cell>
          <cell r="M328">
            <v>0</v>
          </cell>
          <cell r="N328">
            <v>0</v>
          </cell>
          <cell r="O328">
            <v>0</v>
          </cell>
          <cell r="P328">
            <v>0</v>
          </cell>
          <cell r="Q328">
            <v>0</v>
          </cell>
          <cell r="R328">
            <v>0</v>
          </cell>
          <cell r="S328">
            <v>0</v>
          </cell>
          <cell r="T328">
            <v>548.02942585327651</v>
          </cell>
          <cell r="U328">
            <v>2877.1545741467235</v>
          </cell>
          <cell r="V328">
            <v>0</v>
          </cell>
          <cell r="W328">
            <v>0</v>
          </cell>
          <cell r="X328">
            <v>0</v>
          </cell>
          <cell r="Y328">
            <v>0</v>
          </cell>
        </row>
        <row r="329">
          <cell r="J329">
            <v>0</v>
          </cell>
          <cell r="K329">
            <v>0</v>
          </cell>
          <cell r="L329">
            <v>0</v>
          </cell>
          <cell r="M329">
            <v>0</v>
          </cell>
          <cell r="N329">
            <v>0</v>
          </cell>
          <cell r="O329">
            <v>0</v>
          </cell>
          <cell r="P329">
            <v>0</v>
          </cell>
          <cell r="Q329">
            <v>0</v>
          </cell>
          <cell r="R329">
            <v>0</v>
          </cell>
          <cell r="S329">
            <v>0</v>
          </cell>
          <cell r="T329">
            <v>209.40799459438333</v>
          </cell>
          <cell r="U329">
            <v>1099.3920054056166</v>
          </cell>
          <cell r="V329">
            <v>0</v>
          </cell>
          <cell r="W329">
            <v>0</v>
          </cell>
          <cell r="X329">
            <v>0</v>
          </cell>
          <cell r="Y329">
            <v>0</v>
          </cell>
        </row>
        <row r="330">
          <cell r="J330">
            <v>0</v>
          </cell>
          <cell r="K330">
            <v>0</v>
          </cell>
          <cell r="L330">
            <v>0</v>
          </cell>
          <cell r="M330">
            <v>0</v>
          </cell>
          <cell r="N330">
            <v>0</v>
          </cell>
          <cell r="O330">
            <v>0</v>
          </cell>
          <cell r="P330">
            <v>0</v>
          </cell>
          <cell r="Q330">
            <v>0</v>
          </cell>
          <cell r="R330">
            <v>0</v>
          </cell>
          <cell r="S330">
            <v>0</v>
          </cell>
          <cell r="T330">
            <v>2342.0620195424726</v>
          </cell>
          <cell r="U330">
            <v>12295.825980457528</v>
          </cell>
          <cell r="V330">
            <v>0</v>
          </cell>
          <cell r="W330">
            <v>0</v>
          </cell>
          <cell r="X330">
            <v>0</v>
          </cell>
          <cell r="Y330">
            <v>0</v>
          </cell>
        </row>
        <row r="331">
          <cell r="J331">
            <v>0</v>
          </cell>
          <cell r="K331">
            <v>0</v>
          </cell>
          <cell r="L331">
            <v>0</v>
          </cell>
          <cell r="M331">
            <v>0</v>
          </cell>
          <cell r="N331">
            <v>0</v>
          </cell>
          <cell r="O331">
            <v>0</v>
          </cell>
          <cell r="P331">
            <v>0</v>
          </cell>
          <cell r="Q331">
            <v>0</v>
          </cell>
          <cell r="R331">
            <v>0</v>
          </cell>
          <cell r="S331">
            <v>0</v>
          </cell>
          <cell r="T331">
            <v>17.231999555176561</v>
          </cell>
          <cell r="U331">
            <v>90.468000444823431</v>
          </cell>
          <cell r="V331">
            <v>0</v>
          </cell>
          <cell r="W331">
            <v>0</v>
          </cell>
          <cell r="X331">
            <v>0</v>
          </cell>
          <cell r="Y331">
            <v>0</v>
          </cell>
        </row>
        <row r="332">
          <cell r="J332">
            <v>0</v>
          </cell>
          <cell r="K332">
            <v>0</v>
          </cell>
          <cell r="L332">
            <v>0</v>
          </cell>
          <cell r="M332">
            <v>0</v>
          </cell>
          <cell r="N332">
            <v>0</v>
          </cell>
          <cell r="O332">
            <v>0</v>
          </cell>
          <cell r="P332">
            <v>0</v>
          </cell>
          <cell r="Q332">
            <v>0</v>
          </cell>
          <cell r="R332">
            <v>0</v>
          </cell>
          <cell r="S332">
            <v>0</v>
          </cell>
          <cell r="T332">
            <v>16.079999584914063</v>
          </cell>
          <cell r="U332">
            <v>84.420000415085951</v>
          </cell>
          <cell r="V332">
            <v>0</v>
          </cell>
          <cell r="W332">
            <v>0</v>
          </cell>
          <cell r="X332">
            <v>0</v>
          </cell>
          <cell r="Y332">
            <v>0</v>
          </cell>
        </row>
        <row r="333">
          <cell r="J333">
            <v>0</v>
          </cell>
          <cell r="K333">
            <v>0</v>
          </cell>
          <cell r="L333">
            <v>0</v>
          </cell>
          <cell r="M333">
            <v>0</v>
          </cell>
          <cell r="N333">
            <v>0</v>
          </cell>
          <cell r="O333">
            <v>0</v>
          </cell>
          <cell r="P333">
            <v>0</v>
          </cell>
          <cell r="Q333">
            <v>0</v>
          </cell>
          <cell r="R333">
            <v>0</v>
          </cell>
          <cell r="S333">
            <v>0</v>
          </cell>
          <cell r="T333">
            <v>9.6479997509484381</v>
          </cell>
          <cell r="U333">
            <v>50.652000249051568</v>
          </cell>
          <cell r="V333">
            <v>0</v>
          </cell>
          <cell r="W333">
            <v>0</v>
          </cell>
          <cell r="X333">
            <v>0</v>
          </cell>
          <cell r="Y333">
            <v>0</v>
          </cell>
        </row>
        <row r="334">
          <cell r="J334">
            <v>0</v>
          </cell>
          <cell r="K334">
            <v>0</v>
          </cell>
          <cell r="L334">
            <v>0</v>
          </cell>
          <cell r="M334">
            <v>0</v>
          </cell>
          <cell r="N334">
            <v>0</v>
          </cell>
          <cell r="O334">
            <v>0</v>
          </cell>
          <cell r="P334">
            <v>0</v>
          </cell>
          <cell r="Q334">
            <v>0</v>
          </cell>
          <cell r="R334">
            <v>0</v>
          </cell>
          <cell r="S334">
            <v>0</v>
          </cell>
          <cell r="T334">
            <v>14.419199627785625</v>
          </cell>
          <cell r="U334">
            <v>75.700800372214388</v>
          </cell>
          <cell r="V334">
            <v>0</v>
          </cell>
          <cell r="W334">
            <v>0</v>
          </cell>
          <cell r="X334">
            <v>0</v>
          </cell>
          <cell r="Y334">
            <v>0</v>
          </cell>
        </row>
        <row r="335">
          <cell r="J335">
            <v>0</v>
          </cell>
          <cell r="K335">
            <v>0</v>
          </cell>
          <cell r="L335">
            <v>0</v>
          </cell>
          <cell r="M335">
            <v>0</v>
          </cell>
          <cell r="N335">
            <v>0</v>
          </cell>
          <cell r="O335">
            <v>0</v>
          </cell>
          <cell r="P335">
            <v>0</v>
          </cell>
          <cell r="Q335">
            <v>0</v>
          </cell>
          <cell r="R335">
            <v>0</v>
          </cell>
          <cell r="S335">
            <v>0</v>
          </cell>
          <cell r="T335">
            <v>19.692799491653957</v>
          </cell>
          <cell r="U335">
            <v>103.38720050834604</v>
          </cell>
          <cell r="V335">
            <v>0</v>
          </cell>
          <cell r="W335">
            <v>0</v>
          </cell>
          <cell r="X335">
            <v>0</v>
          </cell>
          <cell r="Y335">
            <v>0</v>
          </cell>
        </row>
        <row r="336">
          <cell r="J336">
            <v>0</v>
          </cell>
          <cell r="K336">
            <v>0</v>
          </cell>
          <cell r="L336">
            <v>0</v>
          </cell>
          <cell r="M336">
            <v>0</v>
          </cell>
          <cell r="N336">
            <v>0</v>
          </cell>
          <cell r="O336">
            <v>0</v>
          </cell>
          <cell r="P336">
            <v>0</v>
          </cell>
          <cell r="Q336">
            <v>0</v>
          </cell>
          <cell r="R336">
            <v>0</v>
          </cell>
          <cell r="S336">
            <v>0</v>
          </cell>
          <cell r="T336">
            <v>30.447999214021355</v>
          </cell>
          <cell r="U336">
            <v>159.85200078597867</v>
          </cell>
          <cell r="V336">
            <v>0</v>
          </cell>
          <cell r="W336">
            <v>0</v>
          </cell>
          <cell r="X336">
            <v>0</v>
          </cell>
          <cell r="Y336">
            <v>0</v>
          </cell>
        </row>
        <row r="337">
          <cell r="J337">
            <v>0</v>
          </cell>
          <cell r="K337">
            <v>0</v>
          </cell>
          <cell r="L337">
            <v>0</v>
          </cell>
          <cell r="M337">
            <v>0</v>
          </cell>
          <cell r="N337">
            <v>0</v>
          </cell>
          <cell r="O337">
            <v>0</v>
          </cell>
          <cell r="P337">
            <v>0</v>
          </cell>
          <cell r="Q337">
            <v>0</v>
          </cell>
          <cell r="R337">
            <v>0</v>
          </cell>
          <cell r="S337">
            <v>0</v>
          </cell>
          <cell r="T337">
            <v>108.91519718848458</v>
          </cell>
          <cell r="U337">
            <v>571.80480281151551</v>
          </cell>
          <cell r="V337">
            <v>0</v>
          </cell>
          <cell r="W337">
            <v>0</v>
          </cell>
          <cell r="X337">
            <v>0</v>
          </cell>
          <cell r="Y337">
            <v>0</v>
          </cell>
        </row>
        <row r="338">
          <cell r="J338">
            <v>0</v>
          </cell>
          <cell r="K338">
            <v>0</v>
          </cell>
          <cell r="L338">
            <v>0</v>
          </cell>
          <cell r="M338">
            <v>0</v>
          </cell>
          <cell r="N338">
            <v>0</v>
          </cell>
          <cell r="O338">
            <v>0</v>
          </cell>
          <cell r="P338">
            <v>0</v>
          </cell>
          <cell r="Q338">
            <v>0</v>
          </cell>
          <cell r="R338">
            <v>0</v>
          </cell>
          <cell r="S338">
            <v>0</v>
          </cell>
          <cell r="T338">
            <v>39.398398982977497</v>
          </cell>
          <cell r="U338">
            <v>206.84160101702253</v>
          </cell>
          <cell r="V338">
            <v>0</v>
          </cell>
          <cell r="W338">
            <v>0</v>
          </cell>
          <cell r="X338">
            <v>0</v>
          </cell>
          <cell r="Y338">
            <v>0</v>
          </cell>
        </row>
        <row r="339">
          <cell r="J339">
            <v>0</v>
          </cell>
          <cell r="K339">
            <v>0</v>
          </cell>
          <cell r="L339">
            <v>0</v>
          </cell>
          <cell r="M339">
            <v>0</v>
          </cell>
          <cell r="N339">
            <v>0</v>
          </cell>
          <cell r="O339">
            <v>0</v>
          </cell>
          <cell r="P339">
            <v>0</v>
          </cell>
          <cell r="Q339">
            <v>0</v>
          </cell>
          <cell r="R339">
            <v>0</v>
          </cell>
          <cell r="S339">
            <v>0</v>
          </cell>
          <cell r="T339">
            <v>26.015999328428123</v>
          </cell>
          <cell r="U339">
            <v>136.58400067157189</v>
          </cell>
          <cell r="V339">
            <v>0</v>
          </cell>
          <cell r="W339">
            <v>0</v>
          </cell>
          <cell r="X339">
            <v>0</v>
          </cell>
          <cell r="Y339">
            <v>0</v>
          </cell>
        </row>
        <row r="340">
          <cell r="J340">
            <v>0</v>
          </cell>
          <cell r="K340">
            <v>0</v>
          </cell>
          <cell r="L340">
            <v>0</v>
          </cell>
          <cell r="M340">
            <v>0</v>
          </cell>
          <cell r="N340">
            <v>0</v>
          </cell>
          <cell r="O340">
            <v>0</v>
          </cell>
          <cell r="P340">
            <v>0</v>
          </cell>
          <cell r="Q340">
            <v>0</v>
          </cell>
          <cell r="R340">
            <v>0</v>
          </cell>
          <cell r="S340">
            <v>0</v>
          </cell>
          <cell r="T340">
            <v>47.388798776714893</v>
          </cell>
          <cell r="U340">
            <v>248.79120122328513</v>
          </cell>
          <cell r="V340">
            <v>0</v>
          </cell>
          <cell r="W340">
            <v>0</v>
          </cell>
          <cell r="X340">
            <v>0</v>
          </cell>
          <cell r="Y340">
            <v>0</v>
          </cell>
        </row>
        <row r="341">
          <cell r="J341">
            <v>0</v>
          </cell>
          <cell r="K341">
            <v>0</v>
          </cell>
          <cell r="L341">
            <v>0</v>
          </cell>
          <cell r="M341">
            <v>0</v>
          </cell>
          <cell r="N341">
            <v>0</v>
          </cell>
          <cell r="O341">
            <v>0</v>
          </cell>
          <cell r="P341">
            <v>0</v>
          </cell>
          <cell r="Q341">
            <v>0</v>
          </cell>
          <cell r="R341">
            <v>0</v>
          </cell>
          <cell r="S341">
            <v>0</v>
          </cell>
          <cell r="T341">
            <v>164.76479574679405</v>
          </cell>
          <cell r="U341">
            <v>865.01520425320598</v>
          </cell>
          <cell r="V341">
            <v>0</v>
          </cell>
          <cell r="W341">
            <v>0</v>
          </cell>
          <cell r="X341">
            <v>0</v>
          </cell>
          <cell r="Y341">
            <v>0</v>
          </cell>
        </row>
        <row r="342">
          <cell r="J342">
            <v>0</v>
          </cell>
          <cell r="K342">
            <v>0</v>
          </cell>
          <cell r="L342">
            <v>0</v>
          </cell>
          <cell r="M342">
            <v>0</v>
          </cell>
          <cell r="N342">
            <v>0</v>
          </cell>
          <cell r="O342">
            <v>0</v>
          </cell>
          <cell r="P342">
            <v>0</v>
          </cell>
          <cell r="Q342">
            <v>0</v>
          </cell>
          <cell r="R342">
            <v>0</v>
          </cell>
          <cell r="S342">
            <v>0</v>
          </cell>
          <cell r="T342">
            <v>19.699199491488748</v>
          </cell>
          <cell r="U342">
            <v>103.42080050851126</v>
          </cell>
          <cell r="V342">
            <v>0</v>
          </cell>
          <cell r="W342">
            <v>0</v>
          </cell>
          <cell r="X342">
            <v>0</v>
          </cell>
          <cell r="Y342">
            <v>0</v>
          </cell>
        </row>
        <row r="343">
          <cell r="J343">
            <v>0</v>
          </cell>
          <cell r="K343">
            <v>0</v>
          </cell>
          <cell r="L343">
            <v>0</v>
          </cell>
          <cell r="M343">
            <v>0</v>
          </cell>
          <cell r="N343">
            <v>0</v>
          </cell>
          <cell r="O343">
            <v>0</v>
          </cell>
          <cell r="P343">
            <v>0</v>
          </cell>
          <cell r="Q343">
            <v>0</v>
          </cell>
          <cell r="R343">
            <v>0</v>
          </cell>
          <cell r="S343">
            <v>0</v>
          </cell>
          <cell r="T343">
            <v>26.015999328428123</v>
          </cell>
          <cell r="U343">
            <v>136.58400067157189</v>
          </cell>
          <cell r="V343">
            <v>0</v>
          </cell>
          <cell r="W343">
            <v>0</v>
          </cell>
          <cell r="X343">
            <v>0</v>
          </cell>
          <cell r="Y343">
            <v>0</v>
          </cell>
        </row>
        <row r="344">
          <cell r="J344">
            <v>0</v>
          </cell>
          <cell r="K344">
            <v>0</v>
          </cell>
          <cell r="L344">
            <v>0</v>
          </cell>
          <cell r="M344">
            <v>0</v>
          </cell>
          <cell r="N344">
            <v>0</v>
          </cell>
          <cell r="O344">
            <v>0</v>
          </cell>
          <cell r="P344">
            <v>0</v>
          </cell>
          <cell r="Q344">
            <v>0</v>
          </cell>
          <cell r="R344">
            <v>0</v>
          </cell>
          <cell r="S344">
            <v>0</v>
          </cell>
          <cell r="T344">
            <v>47.388798776714893</v>
          </cell>
          <cell r="U344">
            <v>248.79120122328513</v>
          </cell>
          <cell r="V344">
            <v>0</v>
          </cell>
          <cell r="W344">
            <v>0</v>
          </cell>
          <cell r="X344">
            <v>0</v>
          </cell>
          <cell r="Y344">
            <v>0</v>
          </cell>
        </row>
        <row r="345">
          <cell r="J345">
            <v>0</v>
          </cell>
          <cell r="K345">
            <v>0</v>
          </cell>
          <cell r="L345">
            <v>0</v>
          </cell>
          <cell r="M345">
            <v>0</v>
          </cell>
          <cell r="N345">
            <v>0</v>
          </cell>
          <cell r="O345">
            <v>0</v>
          </cell>
          <cell r="P345">
            <v>0</v>
          </cell>
          <cell r="Q345">
            <v>0</v>
          </cell>
          <cell r="R345">
            <v>0</v>
          </cell>
          <cell r="S345">
            <v>0</v>
          </cell>
          <cell r="T345">
            <v>164.76479574679405</v>
          </cell>
          <cell r="U345">
            <v>865.01520425320598</v>
          </cell>
          <cell r="V345">
            <v>0</v>
          </cell>
          <cell r="W345">
            <v>0</v>
          </cell>
          <cell r="X345">
            <v>0</v>
          </cell>
          <cell r="Y345">
            <v>0</v>
          </cell>
        </row>
        <row r="346">
          <cell r="J346">
            <v>0</v>
          </cell>
          <cell r="K346">
            <v>0</v>
          </cell>
          <cell r="L346">
            <v>0</v>
          </cell>
          <cell r="M346">
            <v>0</v>
          </cell>
          <cell r="N346">
            <v>0</v>
          </cell>
          <cell r="O346">
            <v>0</v>
          </cell>
          <cell r="P346">
            <v>0</v>
          </cell>
          <cell r="Q346">
            <v>0</v>
          </cell>
          <cell r="R346">
            <v>0</v>
          </cell>
          <cell r="S346">
            <v>0</v>
          </cell>
          <cell r="T346">
            <v>1686.2719564709084</v>
          </cell>
          <cell r="U346">
            <v>8852.928043529093</v>
          </cell>
          <cell r="V346">
            <v>0</v>
          </cell>
          <cell r="W346">
            <v>0</v>
          </cell>
          <cell r="X346">
            <v>0</v>
          </cell>
          <cell r="Y346">
            <v>0</v>
          </cell>
        </row>
        <row r="347">
          <cell r="J347">
            <v>0</v>
          </cell>
          <cell r="K347">
            <v>0</v>
          </cell>
          <cell r="L347">
            <v>0</v>
          </cell>
          <cell r="M347">
            <v>0</v>
          </cell>
          <cell r="N347">
            <v>0</v>
          </cell>
          <cell r="O347">
            <v>0</v>
          </cell>
          <cell r="P347">
            <v>0</v>
          </cell>
          <cell r="Q347">
            <v>0</v>
          </cell>
          <cell r="R347">
            <v>0</v>
          </cell>
          <cell r="S347">
            <v>0</v>
          </cell>
          <cell r="T347">
            <v>547.39198586973123</v>
          </cell>
          <cell r="U347">
            <v>2873.8080141302689</v>
          </cell>
          <cell r="V347">
            <v>0</v>
          </cell>
          <cell r="W347">
            <v>0</v>
          </cell>
          <cell r="X347">
            <v>0</v>
          </cell>
          <cell r="Y347">
            <v>0</v>
          </cell>
        </row>
        <row r="348">
          <cell r="J348">
            <v>0</v>
          </cell>
          <cell r="K348">
            <v>0</v>
          </cell>
          <cell r="L348">
            <v>0</v>
          </cell>
          <cell r="M348">
            <v>0</v>
          </cell>
          <cell r="N348">
            <v>0</v>
          </cell>
          <cell r="O348">
            <v>0</v>
          </cell>
          <cell r="P348">
            <v>0</v>
          </cell>
          <cell r="Q348">
            <v>0</v>
          </cell>
          <cell r="R348">
            <v>0</v>
          </cell>
          <cell r="S348">
            <v>0</v>
          </cell>
          <cell r="T348">
            <v>842.48637825222283</v>
          </cell>
          <cell r="U348">
            <v>4423.0536217477775</v>
          </cell>
          <cell r="V348">
            <v>0</v>
          </cell>
          <cell r="W348">
            <v>0</v>
          </cell>
          <cell r="X348">
            <v>0</v>
          </cell>
          <cell r="Y348">
            <v>0</v>
          </cell>
        </row>
        <row r="349">
          <cell r="J349">
            <v>0</v>
          </cell>
          <cell r="K349">
            <v>0</v>
          </cell>
          <cell r="L349">
            <v>0</v>
          </cell>
          <cell r="M349">
            <v>0</v>
          </cell>
          <cell r="N349">
            <v>0</v>
          </cell>
          <cell r="O349">
            <v>0</v>
          </cell>
          <cell r="P349">
            <v>0</v>
          </cell>
          <cell r="Q349">
            <v>0</v>
          </cell>
          <cell r="R349">
            <v>0</v>
          </cell>
          <cell r="S349">
            <v>0</v>
          </cell>
          <cell r="T349">
            <v>2148.284104544618</v>
          </cell>
          <cell r="U349">
            <v>11278.491895455383</v>
          </cell>
          <cell r="V349">
            <v>0</v>
          </cell>
          <cell r="W349">
            <v>0</v>
          </cell>
          <cell r="X349">
            <v>0</v>
          </cell>
          <cell r="Y349">
            <v>0</v>
          </cell>
        </row>
        <row r="350">
          <cell r="J350">
            <v>0</v>
          </cell>
          <cell r="K350">
            <v>0</v>
          </cell>
          <cell r="L350">
            <v>0</v>
          </cell>
          <cell r="M350">
            <v>0</v>
          </cell>
          <cell r="N350">
            <v>0</v>
          </cell>
          <cell r="O350">
            <v>0</v>
          </cell>
          <cell r="P350">
            <v>0</v>
          </cell>
          <cell r="Q350">
            <v>0</v>
          </cell>
          <cell r="R350">
            <v>0</v>
          </cell>
          <cell r="S350">
            <v>0</v>
          </cell>
          <cell r="T350">
            <v>510.3839868250484</v>
          </cell>
          <cell r="U350">
            <v>2679.5160131749521</v>
          </cell>
          <cell r="V350">
            <v>0</v>
          </cell>
          <cell r="W350">
            <v>0</v>
          </cell>
          <cell r="X350">
            <v>0</v>
          </cell>
          <cell r="Y350">
            <v>0</v>
          </cell>
        </row>
        <row r="351">
          <cell r="J351">
            <v>0</v>
          </cell>
          <cell r="K351">
            <v>0</v>
          </cell>
          <cell r="L351">
            <v>0</v>
          </cell>
          <cell r="M351">
            <v>0</v>
          </cell>
          <cell r="N351">
            <v>0</v>
          </cell>
          <cell r="O351">
            <v>0</v>
          </cell>
          <cell r="P351">
            <v>0</v>
          </cell>
          <cell r="Q351">
            <v>0</v>
          </cell>
          <cell r="R351">
            <v>0</v>
          </cell>
          <cell r="S351">
            <v>0</v>
          </cell>
          <cell r="T351">
            <v>37.15199904096562</v>
          </cell>
          <cell r="U351">
            <v>195.04800095903437</v>
          </cell>
          <cell r="V351">
            <v>0</v>
          </cell>
          <cell r="W351">
            <v>0</v>
          </cell>
          <cell r="X351">
            <v>0</v>
          </cell>
          <cell r="Y351">
            <v>0</v>
          </cell>
        </row>
        <row r="352">
          <cell r="J352">
            <v>0</v>
          </cell>
          <cell r="K352">
            <v>0</v>
          </cell>
          <cell r="L352">
            <v>0</v>
          </cell>
          <cell r="M352">
            <v>0</v>
          </cell>
          <cell r="N352">
            <v>0</v>
          </cell>
          <cell r="O352">
            <v>0</v>
          </cell>
          <cell r="P352">
            <v>0</v>
          </cell>
          <cell r="Q352">
            <v>0</v>
          </cell>
          <cell r="R352">
            <v>0</v>
          </cell>
          <cell r="S352">
            <v>0</v>
          </cell>
          <cell r="T352">
            <v>30.172799221125313</v>
          </cell>
          <cell r="U352">
            <v>158.40720077887471</v>
          </cell>
          <cell r="V352">
            <v>0</v>
          </cell>
          <cell r="W352">
            <v>0</v>
          </cell>
          <cell r="X352">
            <v>0</v>
          </cell>
          <cell r="Y352">
            <v>0</v>
          </cell>
        </row>
        <row r="353">
          <cell r="J353">
            <v>0</v>
          </cell>
          <cell r="K353">
            <v>0</v>
          </cell>
          <cell r="L353">
            <v>0</v>
          </cell>
          <cell r="M353">
            <v>0</v>
          </cell>
          <cell r="N353">
            <v>0</v>
          </cell>
          <cell r="O353">
            <v>0</v>
          </cell>
          <cell r="P353">
            <v>0</v>
          </cell>
          <cell r="Q353">
            <v>0</v>
          </cell>
          <cell r="R353">
            <v>0</v>
          </cell>
          <cell r="S353">
            <v>0</v>
          </cell>
          <cell r="T353">
            <v>90.527997663128119</v>
          </cell>
          <cell r="U353">
            <v>475.27200233687188</v>
          </cell>
          <cell r="V353">
            <v>0</v>
          </cell>
          <cell r="W353">
            <v>0</v>
          </cell>
          <cell r="X353">
            <v>0</v>
          </cell>
          <cell r="Y353">
            <v>0</v>
          </cell>
        </row>
        <row r="355">
          <cell r="J355">
            <v>0</v>
          </cell>
          <cell r="K355">
            <v>0</v>
          </cell>
          <cell r="L355">
            <v>0</v>
          </cell>
          <cell r="M355">
            <v>0</v>
          </cell>
          <cell r="N355">
            <v>0</v>
          </cell>
          <cell r="O355">
            <v>0</v>
          </cell>
          <cell r="P355">
            <v>0</v>
          </cell>
          <cell r="Q355">
            <v>0</v>
          </cell>
          <cell r="R355">
            <v>0</v>
          </cell>
          <cell r="S355">
            <v>0</v>
          </cell>
          <cell r="T355">
            <v>0</v>
          </cell>
          <cell r="U355">
            <v>0</v>
          </cell>
          <cell r="V355">
            <v>32321.65</v>
          </cell>
          <cell r="W355">
            <v>96964.950000000012</v>
          </cell>
          <cell r="X355">
            <v>0</v>
          </cell>
          <cell r="Y355">
            <v>0</v>
          </cell>
        </row>
        <row r="356">
          <cell r="J356">
            <v>0</v>
          </cell>
          <cell r="K356">
            <v>0</v>
          </cell>
          <cell r="L356">
            <v>0</v>
          </cell>
          <cell r="M356">
            <v>0</v>
          </cell>
          <cell r="N356">
            <v>0</v>
          </cell>
          <cell r="O356">
            <v>0</v>
          </cell>
          <cell r="P356">
            <v>0</v>
          </cell>
          <cell r="Q356">
            <v>0</v>
          </cell>
          <cell r="R356">
            <v>0</v>
          </cell>
          <cell r="S356">
            <v>480.0734825757749</v>
          </cell>
          <cell r="T356">
            <v>12265.830423081681</v>
          </cell>
          <cell r="U356">
            <v>4248.6346352191522</v>
          </cell>
          <cell r="V356">
            <v>4779.7146941832425</v>
          </cell>
          <cell r="W356">
            <v>7435.1120707569071</v>
          </cell>
          <cell r="X356">
            <v>4779.7146941832425</v>
          </cell>
          <cell r="Y356">
            <v>0</v>
          </cell>
        </row>
        <row r="357">
          <cell r="J357">
            <v>0</v>
          </cell>
          <cell r="K357">
            <v>0</v>
          </cell>
          <cell r="L357">
            <v>0</v>
          </cell>
          <cell r="M357">
            <v>0</v>
          </cell>
          <cell r="N357">
            <v>0</v>
          </cell>
          <cell r="O357">
            <v>0</v>
          </cell>
          <cell r="P357">
            <v>0</v>
          </cell>
          <cell r="Q357">
            <v>0</v>
          </cell>
          <cell r="R357">
            <v>0</v>
          </cell>
          <cell r="S357">
            <v>410.41758167641711</v>
          </cell>
          <cell r="T357">
            <v>10486.128982763847</v>
          </cell>
          <cell r="U357">
            <v>3632.1821881467545</v>
          </cell>
          <cell r="V357">
            <v>4086.2055853715897</v>
          </cell>
          <cell r="W357">
            <v>6356.3200766698001</v>
          </cell>
          <cell r="X357">
            <v>4086.2055853715897</v>
          </cell>
          <cell r="Y357">
            <v>0</v>
          </cell>
        </row>
        <row r="358">
          <cell r="J358">
            <v>0</v>
          </cell>
          <cell r="K358">
            <v>0</v>
          </cell>
          <cell r="L358">
            <v>0</v>
          </cell>
          <cell r="M358">
            <v>0</v>
          </cell>
          <cell r="N358">
            <v>0</v>
          </cell>
          <cell r="O358">
            <v>0</v>
          </cell>
          <cell r="P358">
            <v>0</v>
          </cell>
          <cell r="Q358">
            <v>0</v>
          </cell>
          <cell r="R358">
            <v>0</v>
          </cell>
          <cell r="S358">
            <v>257.7817205311988</v>
          </cell>
          <cell r="T358">
            <v>6586.2976918472932</v>
          </cell>
          <cell r="U358">
            <v>2281.3598041261639</v>
          </cell>
          <cell r="V358">
            <v>2566.5301713896065</v>
          </cell>
          <cell r="W358">
            <v>3992.3804407161306</v>
          </cell>
          <cell r="X358">
            <v>2566.5301713896065</v>
          </cell>
          <cell r="Y358">
            <v>0</v>
          </cell>
        </row>
        <row r="359">
          <cell r="J359">
            <v>0</v>
          </cell>
          <cell r="K359">
            <v>0</v>
          </cell>
          <cell r="L359">
            <v>0</v>
          </cell>
          <cell r="M359">
            <v>0</v>
          </cell>
          <cell r="N359">
            <v>0</v>
          </cell>
          <cell r="O359">
            <v>0</v>
          </cell>
          <cell r="P359">
            <v>0</v>
          </cell>
          <cell r="Q359">
            <v>0</v>
          </cell>
          <cell r="R359">
            <v>0</v>
          </cell>
          <cell r="S359">
            <v>296.06293202103973</v>
          </cell>
          <cell r="T359">
            <v>7564.378893094231</v>
          </cell>
          <cell r="U359">
            <v>2620.1472750384237</v>
          </cell>
          <cell r="V359">
            <v>2947.6661343413793</v>
          </cell>
          <cell r="W359">
            <v>4585.2586311635459</v>
          </cell>
          <cell r="X359">
            <v>2947.6661343413793</v>
          </cell>
          <cell r="Y359">
            <v>0</v>
          </cell>
        </row>
        <row r="360">
          <cell r="J360">
            <v>0</v>
          </cell>
          <cell r="K360">
            <v>0</v>
          </cell>
          <cell r="L360">
            <v>0</v>
          </cell>
          <cell r="M360">
            <v>0</v>
          </cell>
          <cell r="N360">
            <v>0</v>
          </cell>
          <cell r="O360">
            <v>0</v>
          </cell>
          <cell r="P360">
            <v>0</v>
          </cell>
          <cell r="Q360">
            <v>0</v>
          </cell>
          <cell r="R360">
            <v>0</v>
          </cell>
          <cell r="S360">
            <v>4.7991698483629674</v>
          </cell>
          <cell r="T360">
            <v>122.618319211779</v>
          </cell>
          <cell r="U360">
            <v>42.472496353380649</v>
          </cell>
          <cell r="V360">
            <v>47.781565690791922</v>
          </cell>
          <cell r="W360">
            <v>74.326883204893491</v>
          </cell>
          <cell r="X360">
            <v>47.781565690791922</v>
          </cell>
          <cell r="Y360">
            <v>0</v>
          </cell>
        </row>
        <row r="361">
          <cell r="J361">
            <v>0</v>
          </cell>
          <cell r="K361">
            <v>0</v>
          </cell>
          <cell r="L361">
            <v>0</v>
          </cell>
          <cell r="M361">
            <v>0</v>
          </cell>
          <cell r="N361">
            <v>0</v>
          </cell>
          <cell r="O361">
            <v>0</v>
          </cell>
          <cell r="P361">
            <v>0</v>
          </cell>
          <cell r="Q361">
            <v>0</v>
          </cell>
          <cell r="R361">
            <v>0</v>
          </cell>
          <cell r="S361">
            <v>294.13764259249666</v>
          </cell>
          <cell r="T361">
            <v>7515.1879369115313</v>
          </cell>
          <cell r="U361">
            <v>2603.1085265013426</v>
          </cell>
          <cell r="V361">
            <v>2928.497539311325</v>
          </cell>
          <cell r="W361">
            <v>4555.4408153719778</v>
          </cell>
          <cell r="X361">
            <v>2928.497539311325</v>
          </cell>
          <cell r="Y361">
            <v>0</v>
          </cell>
        </row>
        <row r="362">
          <cell r="J362">
            <v>0</v>
          </cell>
          <cell r="K362">
            <v>0</v>
          </cell>
          <cell r="L362">
            <v>0</v>
          </cell>
          <cell r="M362">
            <v>0</v>
          </cell>
          <cell r="N362">
            <v>0</v>
          </cell>
          <cell r="O362">
            <v>0</v>
          </cell>
          <cell r="P362">
            <v>0</v>
          </cell>
          <cell r="Q362">
            <v>0</v>
          </cell>
          <cell r="R362">
            <v>0</v>
          </cell>
          <cell r="S362">
            <v>296.69443147339217</v>
          </cell>
          <cell r="T362">
            <v>7580.5136422023561</v>
          </cell>
          <cell r="U362">
            <v>2625.7360245585824</v>
          </cell>
          <cell r="V362">
            <v>2953.9534785112401</v>
          </cell>
          <cell r="W362">
            <v>4595.038944743188</v>
          </cell>
          <cell r="X362">
            <v>2953.9534785112401</v>
          </cell>
          <cell r="Y362">
            <v>0</v>
          </cell>
        </row>
        <row r="363">
          <cell r="J363">
            <v>0</v>
          </cell>
          <cell r="K363">
            <v>0</v>
          </cell>
          <cell r="L363">
            <v>0</v>
          </cell>
          <cell r="M363">
            <v>0</v>
          </cell>
          <cell r="N363">
            <v>0</v>
          </cell>
          <cell r="O363">
            <v>0</v>
          </cell>
          <cell r="P363">
            <v>0</v>
          </cell>
          <cell r="Q363">
            <v>0</v>
          </cell>
          <cell r="R363">
            <v>0</v>
          </cell>
          <cell r="S363">
            <v>89.641848675664775</v>
          </cell>
          <cell r="T363">
            <v>2290.3404469829329</v>
          </cell>
          <cell r="U363">
            <v>793.32743188619907</v>
          </cell>
          <cell r="V363">
            <v>892.49349709957573</v>
          </cell>
          <cell r="W363">
            <v>1388.3232782560515</v>
          </cell>
          <cell r="X363">
            <v>892.49349709957573</v>
          </cell>
          <cell r="Y363">
            <v>0</v>
          </cell>
        </row>
        <row r="364">
          <cell r="J364">
            <v>0</v>
          </cell>
          <cell r="K364">
            <v>0</v>
          </cell>
          <cell r="L364">
            <v>0</v>
          </cell>
          <cell r="M364">
            <v>0</v>
          </cell>
          <cell r="N364">
            <v>0</v>
          </cell>
          <cell r="O364">
            <v>0</v>
          </cell>
          <cell r="P364">
            <v>0</v>
          </cell>
          <cell r="Q364">
            <v>0</v>
          </cell>
          <cell r="R364">
            <v>0</v>
          </cell>
          <cell r="S364">
            <v>255.94809809987714</v>
          </cell>
          <cell r="T364">
            <v>6539.4488184584152</v>
          </cell>
          <cell r="U364">
            <v>2265.1323055194307</v>
          </cell>
          <cell r="V364">
            <v>2548.2742326704983</v>
          </cell>
          <cell r="W364">
            <v>3963.9823125812809</v>
          </cell>
          <cell r="X364">
            <v>2548.2742326704983</v>
          </cell>
          <cell r="Y364">
            <v>0</v>
          </cell>
        </row>
        <row r="365">
          <cell r="J365">
            <v>0</v>
          </cell>
          <cell r="K365">
            <v>0</v>
          </cell>
          <cell r="L365">
            <v>0</v>
          </cell>
          <cell r="M365">
            <v>0</v>
          </cell>
          <cell r="N365">
            <v>0</v>
          </cell>
          <cell r="O365">
            <v>0</v>
          </cell>
          <cell r="P365">
            <v>0</v>
          </cell>
          <cell r="Q365">
            <v>0</v>
          </cell>
          <cell r="R365">
            <v>0</v>
          </cell>
          <cell r="S365">
            <v>92.962764605816943</v>
          </cell>
          <cell r="T365">
            <v>2375.1895234826484</v>
          </cell>
          <cell r="U365">
            <v>822.7174293628218</v>
          </cell>
          <cell r="V365">
            <v>925.55724930753081</v>
          </cell>
          <cell r="W365">
            <v>1439.7557839336505</v>
          </cell>
          <cell r="X365">
            <v>925.55724930753081</v>
          </cell>
          <cell r="Y365">
            <v>0</v>
          </cell>
        </row>
        <row r="366">
          <cell r="J366">
            <v>0</v>
          </cell>
          <cell r="K366">
            <v>0</v>
          </cell>
          <cell r="L366">
            <v>0</v>
          </cell>
          <cell r="M366">
            <v>0</v>
          </cell>
          <cell r="N366">
            <v>0</v>
          </cell>
          <cell r="O366">
            <v>0</v>
          </cell>
          <cell r="P366">
            <v>0</v>
          </cell>
          <cell r="Q366">
            <v>0</v>
          </cell>
          <cell r="R366">
            <v>0</v>
          </cell>
          <cell r="S366">
            <v>92.962764605816943</v>
          </cell>
          <cell r="T366">
            <v>2375.1895234826484</v>
          </cell>
          <cell r="U366">
            <v>822.7174293628218</v>
          </cell>
          <cell r="V366">
            <v>925.55724930753081</v>
          </cell>
          <cell r="W366">
            <v>1439.7557839336505</v>
          </cell>
          <cell r="X366">
            <v>925.55724930753081</v>
          </cell>
          <cell r="Y366">
            <v>0</v>
          </cell>
        </row>
        <row r="367">
          <cell r="J367">
            <v>0</v>
          </cell>
          <cell r="K367">
            <v>0</v>
          </cell>
          <cell r="L367">
            <v>0</v>
          </cell>
          <cell r="M367">
            <v>0</v>
          </cell>
          <cell r="N367">
            <v>0</v>
          </cell>
          <cell r="O367">
            <v>0</v>
          </cell>
          <cell r="P367">
            <v>0</v>
          </cell>
          <cell r="Q367">
            <v>0</v>
          </cell>
          <cell r="R367">
            <v>0</v>
          </cell>
          <cell r="S367">
            <v>15.908531943046048</v>
          </cell>
          <cell r="T367">
            <v>406.46143179295751</v>
          </cell>
          <cell r="U367">
            <v>140.78998791200149</v>
          </cell>
          <cell r="V367">
            <v>158.38876057699969</v>
          </cell>
          <cell r="W367">
            <v>246.38252719799806</v>
          </cell>
          <cell r="X367">
            <v>158.38876057699969</v>
          </cell>
          <cell r="Y367">
            <v>0</v>
          </cell>
        </row>
        <row r="368">
          <cell r="J368">
            <v>0</v>
          </cell>
          <cell r="K368">
            <v>0</v>
          </cell>
          <cell r="L368">
            <v>0</v>
          </cell>
          <cell r="M368">
            <v>0</v>
          </cell>
          <cell r="N368">
            <v>0</v>
          </cell>
          <cell r="O368">
            <v>0</v>
          </cell>
          <cell r="P368">
            <v>0</v>
          </cell>
          <cell r="Q368">
            <v>0</v>
          </cell>
          <cell r="R368">
            <v>0</v>
          </cell>
          <cell r="S368">
            <v>0.72585007507026111</v>
          </cell>
          <cell r="T368">
            <v>18.545398270331777</v>
          </cell>
          <cell r="U368">
            <v>6.4237494484673601</v>
          </cell>
          <cell r="V368">
            <v>7.2267192325911056</v>
          </cell>
          <cell r="W368">
            <v>11.241563740948505</v>
          </cell>
          <cell r="X368">
            <v>7.2267192325911056</v>
          </cell>
          <cell r="Y368">
            <v>0</v>
          </cell>
        </row>
        <row r="369">
          <cell r="J369">
            <v>0</v>
          </cell>
          <cell r="K369">
            <v>0</v>
          </cell>
          <cell r="L369">
            <v>0</v>
          </cell>
          <cell r="M369">
            <v>0</v>
          </cell>
          <cell r="N369">
            <v>0</v>
          </cell>
          <cell r="O369">
            <v>0</v>
          </cell>
          <cell r="P369">
            <v>0</v>
          </cell>
          <cell r="Q369">
            <v>0</v>
          </cell>
          <cell r="R369">
            <v>0</v>
          </cell>
          <cell r="S369">
            <v>7.9542659715230242</v>
          </cell>
          <cell r="T369">
            <v>203.23071589647876</v>
          </cell>
          <cell r="U369">
            <v>70.394993956000746</v>
          </cell>
          <cell r="V369">
            <v>79.194380288499843</v>
          </cell>
          <cell r="W369">
            <v>123.19126359899903</v>
          </cell>
          <cell r="X369">
            <v>79.194380288499843</v>
          </cell>
          <cell r="Y369">
            <v>0</v>
          </cell>
        </row>
        <row r="370">
          <cell r="J370">
            <v>0</v>
          </cell>
          <cell r="K370">
            <v>0</v>
          </cell>
          <cell r="L370">
            <v>0</v>
          </cell>
          <cell r="M370">
            <v>0</v>
          </cell>
          <cell r="N370">
            <v>0</v>
          </cell>
          <cell r="O370">
            <v>0</v>
          </cell>
          <cell r="P370">
            <v>0</v>
          </cell>
          <cell r="Q370">
            <v>0</v>
          </cell>
          <cell r="R370">
            <v>0</v>
          </cell>
          <cell r="S370">
            <v>3.6292503753513055</v>
          </cell>
          <cell r="T370">
            <v>92.726991351658882</v>
          </cell>
          <cell r="U370">
            <v>32.118747242336795</v>
          </cell>
          <cell r="V370">
            <v>36.133596162955527</v>
          </cell>
          <cell r="W370">
            <v>56.207818704742529</v>
          </cell>
          <cell r="X370">
            <v>36.133596162955527</v>
          </cell>
          <cell r="Y370">
            <v>0</v>
          </cell>
        </row>
        <row r="371">
          <cell r="J371">
            <v>0</v>
          </cell>
          <cell r="K371">
            <v>0</v>
          </cell>
          <cell r="L371">
            <v>0</v>
          </cell>
          <cell r="M371">
            <v>0</v>
          </cell>
          <cell r="N371">
            <v>0</v>
          </cell>
          <cell r="O371">
            <v>0</v>
          </cell>
          <cell r="P371">
            <v>0</v>
          </cell>
          <cell r="Q371">
            <v>0</v>
          </cell>
          <cell r="R371">
            <v>0</v>
          </cell>
          <cell r="S371">
            <v>0.79943791105228212</v>
          </cell>
          <cell r="T371">
            <v>20.425560266603981</v>
          </cell>
          <cell r="U371">
            <v>7.0749993925521037</v>
          </cell>
          <cell r="V371">
            <v>7.9593755315169599</v>
          </cell>
          <cell r="W371">
            <v>12.381251366757839</v>
          </cell>
          <cell r="X371">
            <v>7.9593755315169599</v>
          </cell>
          <cell r="Y371">
            <v>0</v>
          </cell>
        </row>
        <row r="372">
          <cell r="J372">
            <v>0</v>
          </cell>
          <cell r="K372">
            <v>0</v>
          </cell>
          <cell r="L372">
            <v>0</v>
          </cell>
          <cell r="M372">
            <v>0</v>
          </cell>
          <cell r="N372">
            <v>0</v>
          </cell>
          <cell r="O372">
            <v>0</v>
          </cell>
          <cell r="P372">
            <v>0</v>
          </cell>
          <cell r="Q372">
            <v>0</v>
          </cell>
          <cell r="R372">
            <v>0</v>
          </cell>
          <cell r="S372">
            <v>0.85607653337241729</v>
          </cell>
          <cell r="T372">
            <v>21.872671515174332</v>
          </cell>
          <cell r="U372">
            <v>7.5762493495156003</v>
          </cell>
          <cell r="V372">
            <v>8.5232818191739028</v>
          </cell>
          <cell r="W372">
            <v>13.258438963589976</v>
          </cell>
          <cell r="X372">
            <v>8.5232818191739028</v>
          </cell>
          <cell r="Y372">
            <v>0</v>
          </cell>
        </row>
        <row r="373">
          <cell r="J373">
            <v>0</v>
          </cell>
          <cell r="K373">
            <v>0</v>
          </cell>
          <cell r="L373">
            <v>0</v>
          </cell>
          <cell r="M373">
            <v>0</v>
          </cell>
          <cell r="N373">
            <v>0</v>
          </cell>
          <cell r="O373">
            <v>0</v>
          </cell>
          <cell r="P373">
            <v>0</v>
          </cell>
          <cell r="Q373">
            <v>0</v>
          </cell>
          <cell r="R373">
            <v>0</v>
          </cell>
          <cell r="S373">
            <v>6.0090612169272601</v>
          </cell>
          <cell r="T373">
            <v>153.53092508522963</v>
          </cell>
          <cell r="U373">
            <v>53.179995434052415</v>
          </cell>
          <cell r="V373">
            <v>59.827503995204509</v>
          </cell>
          <cell r="W373">
            <v>93.065010273382597</v>
          </cell>
          <cell r="X373">
            <v>59.827503995204509</v>
          </cell>
          <cell r="Y373">
            <v>0</v>
          </cell>
        </row>
        <row r="374">
          <cell r="J374">
            <v>0</v>
          </cell>
          <cell r="K374">
            <v>0</v>
          </cell>
          <cell r="L374">
            <v>0</v>
          </cell>
          <cell r="M374">
            <v>0</v>
          </cell>
          <cell r="N374">
            <v>0</v>
          </cell>
          <cell r="O374">
            <v>0</v>
          </cell>
          <cell r="P374">
            <v>0</v>
          </cell>
          <cell r="Q374">
            <v>0</v>
          </cell>
          <cell r="R374">
            <v>0</v>
          </cell>
          <cell r="S374">
            <v>2.0895555576161593</v>
          </cell>
          <cell r="T374">
            <v>53.387939679176547</v>
          </cell>
          <cell r="U374">
            <v>18.492498412264279</v>
          </cell>
          <cell r="V374">
            <v>20.804063889268885</v>
          </cell>
          <cell r="W374">
            <v>32.361878572405558</v>
          </cell>
          <cell r="X374">
            <v>20.804063889268885</v>
          </cell>
          <cell r="Y374">
            <v>0</v>
          </cell>
        </row>
        <row r="375">
          <cell r="J375">
            <v>0</v>
          </cell>
          <cell r="K375">
            <v>0</v>
          </cell>
          <cell r="L375">
            <v>0</v>
          </cell>
          <cell r="M375">
            <v>0</v>
          </cell>
          <cell r="N375">
            <v>0</v>
          </cell>
          <cell r="O375">
            <v>0</v>
          </cell>
          <cell r="P375">
            <v>0</v>
          </cell>
          <cell r="Q375">
            <v>0</v>
          </cell>
          <cell r="R375">
            <v>0</v>
          </cell>
          <cell r="S375">
            <v>1.8853175329904348</v>
          </cell>
          <cell r="T375">
            <v>48.169678169369242</v>
          </cell>
          <cell r="U375">
            <v>16.684998567453263</v>
          </cell>
          <cell r="V375">
            <v>18.770626253478511</v>
          </cell>
          <cell r="W375">
            <v>29.198753223230323</v>
          </cell>
          <cell r="X375">
            <v>18.770626253478511</v>
          </cell>
          <cell r="Y375">
            <v>0</v>
          </cell>
        </row>
        <row r="376">
          <cell r="J376">
            <v>0</v>
          </cell>
          <cell r="K376">
            <v>0</v>
          </cell>
          <cell r="L376">
            <v>0</v>
          </cell>
          <cell r="M376">
            <v>0</v>
          </cell>
          <cell r="N376">
            <v>0</v>
          </cell>
          <cell r="O376">
            <v>0</v>
          </cell>
          <cell r="P376">
            <v>0</v>
          </cell>
          <cell r="Q376">
            <v>0</v>
          </cell>
          <cell r="R376">
            <v>0</v>
          </cell>
          <cell r="S376">
            <v>8.3424029643802111</v>
          </cell>
          <cell r="T376">
            <v>213.14757801885114</v>
          </cell>
          <cell r="U376">
            <v>73.829993661077282</v>
          </cell>
          <cell r="V376">
            <v>83.05875554655789</v>
          </cell>
          <cell r="W376">
            <v>129.20251426257687</v>
          </cell>
          <cell r="X376">
            <v>83.05875554655789</v>
          </cell>
          <cell r="Y376">
            <v>0</v>
          </cell>
        </row>
        <row r="377">
          <cell r="J377">
            <v>0</v>
          </cell>
          <cell r="K377">
            <v>0</v>
          </cell>
          <cell r="L377">
            <v>0</v>
          </cell>
          <cell r="M377">
            <v>0</v>
          </cell>
          <cell r="N377">
            <v>0</v>
          </cell>
          <cell r="O377">
            <v>0</v>
          </cell>
          <cell r="P377">
            <v>0</v>
          </cell>
          <cell r="Q377">
            <v>0</v>
          </cell>
          <cell r="R377">
            <v>0</v>
          </cell>
          <cell r="S377">
            <v>10.216421021596055</v>
          </cell>
          <cell r="T377">
            <v>261.02855568975252</v>
          </cell>
          <cell r="U377">
            <v>90.414992237116394</v>
          </cell>
          <cell r="V377">
            <v>101.71688179252381</v>
          </cell>
          <cell r="W377">
            <v>158.22626746648908</v>
          </cell>
          <cell r="X377">
            <v>101.71688179252381</v>
          </cell>
          <cell r="Y377">
            <v>0</v>
          </cell>
        </row>
        <row r="378">
          <cell r="J378">
            <v>0</v>
          </cell>
          <cell r="K378">
            <v>0</v>
          </cell>
          <cell r="L378">
            <v>0</v>
          </cell>
          <cell r="M378">
            <v>0</v>
          </cell>
          <cell r="N378">
            <v>0</v>
          </cell>
          <cell r="O378">
            <v>0</v>
          </cell>
          <cell r="P378">
            <v>0</v>
          </cell>
          <cell r="Q378">
            <v>0</v>
          </cell>
          <cell r="R378">
            <v>0</v>
          </cell>
          <cell r="S378">
            <v>145.38272764550888</v>
          </cell>
          <cell r="T378">
            <v>3714.5144409500135</v>
          </cell>
          <cell r="U378">
            <v>1286.6323895318435</v>
          </cell>
          <cell r="V378">
            <v>1447.4616591596457</v>
          </cell>
          <cell r="W378">
            <v>2251.6071235533645</v>
          </cell>
          <cell r="X378">
            <v>1447.4616591596457</v>
          </cell>
          <cell r="Y378">
            <v>0</v>
          </cell>
        </row>
        <row r="379">
          <cell r="J379">
            <v>0</v>
          </cell>
          <cell r="K379">
            <v>0</v>
          </cell>
          <cell r="L379">
            <v>0</v>
          </cell>
          <cell r="M379">
            <v>0</v>
          </cell>
          <cell r="N379">
            <v>0</v>
          </cell>
          <cell r="O379">
            <v>0</v>
          </cell>
          <cell r="P379">
            <v>0</v>
          </cell>
          <cell r="Q379">
            <v>0</v>
          </cell>
          <cell r="R379">
            <v>0</v>
          </cell>
          <cell r="S379">
            <v>4.3310890644005617</v>
          </cell>
          <cell r="T379">
            <v>110.65890106274637</v>
          </cell>
          <cell r="U379">
            <v>38.329996709049063</v>
          </cell>
          <cell r="V379">
            <v>43.121252879582336</v>
          </cell>
          <cell r="W379">
            <v>67.077507404639988</v>
          </cell>
          <cell r="X379">
            <v>43.121252879582336</v>
          </cell>
          <cell r="Y379">
            <v>0</v>
          </cell>
        </row>
        <row r="380">
          <cell r="J380">
            <v>0</v>
          </cell>
          <cell r="K380">
            <v>0</v>
          </cell>
          <cell r="L380">
            <v>0</v>
          </cell>
          <cell r="M380">
            <v>0</v>
          </cell>
          <cell r="N380">
            <v>0</v>
          </cell>
          <cell r="O380">
            <v>0</v>
          </cell>
          <cell r="P380">
            <v>0</v>
          </cell>
          <cell r="Q380">
            <v>0</v>
          </cell>
          <cell r="R380">
            <v>0</v>
          </cell>
          <cell r="S380">
            <v>1.8987356604727612</v>
          </cell>
          <cell r="T380">
            <v>48.512510011299881</v>
          </cell>
          <cell r="U380">
            <v>16.803748557257585</v>
          </cell>
          <cell r="V380">
            <v>18.904220012399733</v>
          </cell>
          <cell r="W380">
            <v>29.40656574617061</v>
          </cell>
          <cell r="X380">
            <v>18.904220012399733</v>
          </cell>
          <cell r="Y380">
            <v>0</v>
          </cell>
        </row>
        <row r="381">
          <cell r="J381">
            <v>0</v>
          </cell>
          <cell r="K381">
            <v>0</v>
          </cell>
          <cell r="L381">
            <v>0</v>
          </cell>
          <cell r="M381">
            <v>0</v>
          </cell>
          <cell r="N381">
            <v>0</v>
          </cell>
          <cell r="O381">
            <v>0</v>
          </cell>
          <cell r="P381">
            <v>0</v>
          </cell>
          <cell r="Q381">
            <v>0</v>
          </cell>
          <cell r="R381">
            <v>0</v>
          </cell>
          <cell r="S381">
            <v>174.06503446483521</v>
          </cell>
          <cell r="T381">
            <v>4447.3445687484709</v>
          </cell>
          <cell r="U381">
            <v>1540.4698677377721</v>
          </cell>
          <cell r="V381">
            <v>1733.0288657294602</v>
          </cell>
          <cell r="W381">
            <v>2695.8227975900281</v>
          </cell>
          <cell r="X381">
            <v>1733.0288657294602</v>
          </cell>
          <cell r="Y381">
            <v>0</v>
          </cell>
        </row>
        <row r="382">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row>
        <row r="383">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row>
        <row r="384">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row>
        <row r="386">
          <cell r="J386">
            <v>0</v>
          </cell>
          <cell r="K386">
            <v>0</v>
          </cell>
          <cell r="L386">
            <v>0</v>
          </cell>
          <cell r="M386">
            <v>0</v>
          </cell>
          <cell r="N386">
            <v>0</v>
          </cell>
          <cell r="O386">
            <v>0</v>
          </cell>
          <cell r="P386">
            <v>551.65334185051756</v>
          </cell>
          <cell r="Q386">
            <v>43.486658149482402</v>
          </cell>
          <cell r="R386">
            <v>154.89367164342866</v>
          </cell>
          <cell r="S386">
            <v>1089.1842916634107</v>
          </cell>
          <cell r="T386">
            <v>1886.5157083365889</v>
          </cell>
          <cell r="U386">
            <v>638.62616346011589</v>
          </cell>
          <cell r="V386">
            <v>833.19639575149313</v>
          </cell>
          <cell r="W386">
            <v>753.84376914496227</v>
          </cell>
          <cell r="X386">
            <v>0</v>
          </cell>
          <cell r="Y386">
            <v>0</v>
          </cell>
        </row>
        <row r="387">
          <cell r="J387">
            <v>0</v>
          </cell>
          <cell r="K387">
            <v>0</v>
          </cell>
          <cell r="L387">
            <v>0</v>
          </cell>
          <cell r="M387">
            <v>0</v>
          </cell>
          <cell r="N387">
            <v>0</v>
          </cell>
          <cell r="O387">
            <v>0</v>
          </cell>
          <cell r="P387">
            <v>434.66545954559126</v>
          </cell>
          <cell r="Q387">
            <v>34.264540454408682</v>
          </cell>
          <cell r="R387">
            <v>122.04571940006215</v>
          </cell>
          <cell r="S387">
            <v>858.20343094015391</v>
          </cell>
          <cell r="T387">
            <v>1486.4465690598458</v>
          </cell>
          <cell r="U387">
            <v>503.19415067270239</v>
          </cell>
          <cell r="V387">
            <v>656.50231182536493</v>
          </cell>
          <cell r="W387">
            <v>593.9778181018703</v>
          </cell>
          <cell r="X387">
            <v>0</v>
          </cell>
          <cell r="Y387">
            <v>0</v>
          </cell>
        </row>
        <row r="388">
          <cell r="J388">
            <v>0</v>
          </cell>
          <cell r="K388">
            <v>0</v>
          </cell>
          <cell r="L388">
            <v>0</v>
          </cell>
          <cell r="M388">
            <v>0</v>
          </cell>
          <cell r="N388">
            <v>0</v>
          </cell>
          <cell r="O388">
            <v>0</v>
          </cell>
          <cell r="P388">
            <v>100.15482674152034</v>
          </cell>
          <cell r="Q388">
            <v>7.895173258479641</v>
          </cell>
          <cell r="R388">
            <v>28.121553283382845</v>
          </cell>
          <cell r="S388">
            <v>197.74567784761825</v>
          </cell>
          <cell r="T388">
            <v>342.50432215238163</v>
          </cell>
          <cell r="U388">
            <v>115.94508344568591</v>
          </cell>
          <cell r="V388">
            <v>151.27007185023496</v>
          </cell>
          <cell r="W388">
            <v>136.86329142069624</v>
          </cell>
          <cell r="X388">
            <v>0</v>
          </cell>
          <cell r="Y388">
            <v>0</v>
          </cell>
        </row>
        <row r="389">
          <cell r="J389">
            <v>0</v>
          </cell>
          <cell r="K389">
            <v>0</v>
          </cell>
          <cell r="L389">
            <v>0</v>
          </cell>
          <cell r="M389">
            <v>0</v>
          </cell>
          <cell r="N389">
            <v>0</v>
          </cell>
          <cell r="O389">
            <v>0</v>
          </cell>
          <cell r="P389">
            <v>91.061639787940379</v>
          </cell>
          <cell r="Q389">
            <v>7.1783602120596006</v>
          </cell>
          <cell r="R389">
            <v>25.568360893655999</v>
          </cell>
          <cell r="S389">
            <v>179.79209062239718</v>
          </cell>
          <cell r="T389">
            <v>311.40790937760272</v>
          </cell>
          <cell r="U389">
            <v>105.4182785534862</v>
          </cell>
          <cell r="V389">
            <v>137.5360653268587</v>
          </cell>
          <cell r="W389">
            <v>124.43729522599907</v>
          </cell>
          <cell r="X389">
            <v>0</v>
          </cell>
          <cell r="Y389">
            <v>0</v>
          </cell>
        </row>
        <row r="390">
          <cell r="J390">
            <v>0</v>
          </cell>
          <cell r="K390">
            <v>0</v>
          </cell>
          <cell r="L390">
            <v>0</v>
          </cell>
          <cell r="M390">
            <v>0</v>
          </cell>
          <cell r="N390">
            <v>0</v>
          </cell>
          <cell r="O390">
            <v>0</v>
          </cell>
          <cell r="P390">
            <v>4950.3643470223378</v>
          </cell>
          <cell r="Q390">
            <v>390.23565297766191</v>
          </cell>
          <cell r="R390">
            <v>1389.9673064806518</v>
          </cell>
          <cell r="S390">
            <v>9773.9987701341051</v>
          </cell>
          <cell r="T390">
            <v>16929.001229865891</v>
          </cell>
          <cell r="U390">
            <v>5730.8312137901921</v>
          </cell>
          <cell r="V390">
            <v>7476.8435513499762</v>
          </cell>
          <cell r="W390">
            <v>6764.7579283791802</v>
          </cell>
          <cell r="X390">
            <v>0</v>
          </cell>
          <cell r="Y390">
            <v>0</v>
          </cell>
        </row>
        <row r="391">
          <cell r="J391">
            <v>0</v>
          </cell>
          <cell r="K391">
            <v>0</v>
          </cell>
          <cell r="L391">
            <v>0</v>
          </cell>
          <cell r="M391">
            <v>0</v>
          </cell>
          <cell r="N391">
            <v>0</v>
          </cell>
          <cell r="O391">
            <v>0</v>
          </cell>
          <cell r="P391">
            <v>197.28322581704285</v>
          </cell>
          <cell r="Q391">
            <v>15.551774182957095</v>
          </cell>
          <cell r="R391">
            <v>55.393343758156291</v>
          </cell>
          <cell r="S391">
            <v>389.5159772762409</v>
          </cell>
          <cell r="T391">
            <v>674.65902272375888</v>
          </cell>
          <cell r="U391">
            <v>228.38659727128697</v>
          </cell>
          <cell r="V391">
            <v>297.96914152933596</v>
          </cell>
          <cell r="W391">
            <v>269.5909174412206</v>
          </cell>
          <cell r="X391">
            <v>0</v>
          </cell>
          <cell r="Y391">
            <v>0</v>
          </cell>
        </row>
        <row r="392">
          <cell r="J392">
            <v>0</v>
          </cell>
          <cell r="K392">
            <v>0</v>
          </cell>
          <cell r="L392">
            <v>0</v>
          </cell>
          <cell r="M392">
            <v>0</v>
          </cell>
          <cell r="N392">
            <v>0</v>
          </cell>
          <cell r="O392">
            <v>0</v>
          </cell>
          <cell r="P392">
            <v>242.40156169527984</v>
          </cell>
          <cell r="Q392">
            <v>19.108438304720138</v>
          </cell>
          <cell r="R392">
            <v>68.061706609323906</v>
          </cell>
          <cell r="S392">
            <v>478.59761419648919</v>
          </cell>
          <cell r="T392">
            <v>828.95238580351065</v>
          </cell>
          <cell r="U392">
            <v>280.61822093365407</v>
          </cell>
          <cell r="V392">
            <v>366.11417389685278</v>
          </cell>
          <cell r="W392">
            <v>331.24589856016917</v>
          </cell>
          <cell r="X392">
            <v>0</v>
          </cell>
          <cell r="Y392">
            <v>0</v>
          </cell>
        </row>
        <row r="393">
          <cell r="J393">
            <v>0</v>
          </cell>
          <cell r="K393">
            <v>0</v>
          </cell>
          <cell r="L393">
            <v>0</v>
          </cell>
          <cell r="M393">
            <v>0</v>
          </cell>
          <cell r="N393">
            <v>0</v>
          </cell>
          <cell r="O393">
            <v>0</v>
          </cell>
          <cell r="P393">
            <v>10495.373066568693</v>
          </cell>
          <cell r="Q393">
            <v>827.34693343130584</v>
          </cell>
          <cell r="R393">
            <v>2946.8993409794043</v>
          </cell>
          <cell r="S393">
            <v>20722.063317712025</v>
          </cell>
          <cell r="T393">
            <v>35891.536682287966</v>
          </cell>
          <cell r="U393">
            <v>12150.057521815243</v>
          </cell>
          <cell r="V393">
            <v>15851.815529292851</v>
          </cell>
          <cell r="W393">
            <v>14342.107607912503</v>
          </cell>
          <cell r="X393">
            <v>0</v>
          </cell>
          <cell r="Y393">
            <v>0</v>
          </cell>
        </row>
        <row r="394">
          <cell r="J394">
            <v>0</v>
          </cell>
          <cell r="K394">
            <v>0</v>
          </cell>
          <cell r="L394">
            <v>0</v>
          </cell>
          <cell r="M394">
            <v>0</v>
          </cell>
          <cell r="N394">
            <v>0</v>
          </cell>
          <cell r="O394">
            <v>0</v>
          </cell>
          <cell r="P394">
            <v>5800.6690932889342</v>
          </cell>
          <cell r="Q394">
            <v>457.26490671106461</v>
          </cell>
          <cell r="R394">
            <v>1628.7165610818431</v>
          </cell>
          <cell r="S394">
            <v>11452.840358682621</v>
          </cell>
          <cell r="T394">
            <v>19836.829641317374</v>
          </cell>
          <cell r="U394">
            <v>6715.193705021703</v>
          </cell>
          <cell r="V394">
            <v>8761.1117613514871</v>
          </cell>
          <cell r="W394">
            <v>7926.7139725449642</v>
          </cell>
          <cell r="X394">
            <v>0</v>
          </cell>
          <cell r="Y394">
            <v>0</v>
          </cell>
        </row>
        <row r="395">
          <cell r="J395">
            <v>0</v>
          </cell>
          <cell r="K395">
            <v>0</v>
          </cell>
          <cell r="L395">
            <v>0</v>
          </cell>
          <cell r="M395">
            <v>0</v>
          </cell>
          <cell r="N395">
            <v>0</v>
          </cell>
          <cell r="O395">
            <v>0</v>
          </cell>
          <cell r="P395">
            <v>1471.5612897832023</v>
          </cell>
          <cell r="Q395">
            <v>116.00271021679751</v>
          </cell>
          <cell r="R395">
            <v>413.18616952133641</v>
          </cell>
          <cell r="S395">
            <v>2905.450433192746</v>
          </cell>
          <cell r="T395">
            <v>5032.3695668072523</v>
          </cell>
          <cell r="U395">
            <v>1703.5653906095965</v>
          </cell>
          <cell r="V395">
            <v>2222.5906556857603</v>
          </cell>
          <cell r="W395">
            <v>2010.913784183306</v>
          </cell>
          <cell r="X395">
            <v>0</v>
          </cell>
          <cell r="Y395">
            <v>0</v>
          </cell>
        </row>
        <row r="396">
          <cell r="J396">
            <v>0</v>
          </cell>
          <cell r="K396">
            <v>0</v>
          </cell>
          <cell r="L396">
            <v>0</v>
          </cell>
          <cell r="M396">
            <v>0</v>
          </cell>
          <cell r="N396">
            <v>0</v>
          </cell>
          <cell r="O396">
            <v>0</v>
          </cell>
          <cell r="P396">
            <v>2331.2113480646817</v>
          </cell>
          <cell r="Q396">
            <v>183.76865193531816</v>
          </cell>
          <cell r="R396">
            <v>654.55940839095047</v>
          </cell>
          <cell r="S396">
            <v>4602.7434046571307</v>
          </cell>
          <cell r="T396">
            <v>7972.1565953428671</v>
          </cell>
          <cell r="U396">
            <v>2698.7465614459152</v>
          </cell>
          <cell r="V396">
            <v>3520.9736723915216</v>
          </cell>
          <cell r="W396">
            <v>3185.6403577716119</v>
          </cell>
          <cell r="X396">
            <v>0</v>
          </cell>
          <cell r="Y396">
            <v>0</v>
          </cell>
        </row>
        <row r="397">
          <cell r="J397">
            <v>0</v>
          </cell>
          <cell r="K397">
            <v>0</v>
          </cell>
          <cell r="L397">
            <v>0</v>
          </cell>
          <cell r="M397">
            <v>0</v>
          </cell>
          <cell r="N397">
            <v>0</v>
          </cell>
          <cell r="O397">
            <v>0</v>
          </cell>
          <cell r="P397">
            <v>2874.6706254228802</v>
          </cell>
          <cell r="Q397">
            <v>226.60937457711933</v>
          </cell>
          <cell r="R397">
            <v>807.15234397676579</v>
          </cell>
          <cell r="S397">
            <v>5675.7493363744707</v>
          </cell>
          <cell r="T397">
            <v>9830.6506636255272</v>
          </cell>
          <cell r="U397">
            <v>3327.8867967462916</v>
          </cell>
          <cell r="V397">
            <v>4341.794062264662</v>
          </cell>
          <cell r="W397">
            <v>3928.2867970122807</v>
          </cell>
          <cell r="X397">
            <v>0</v>
          </cell>
          <cell r="Y397">
            <v>0</v>
          </cell>
        </row>
        <row r="398">
          <cell r="J398">
            <v>0</v>
          </cell>
          <cell r="K398">
            <v>0</v>
          </cell>
          <cell r="L398">
            <v>0</v>
          </cell>
          <cell r="M398">
            <v>0</v>
          </cell>
          <cell r="N398">
            <v>0</v>
          </cell>
          <cell r="O398">
            <v>0</v>
          </cell>
          <cell r="P398">
            <v>1943.6561977676884</v>
          </cell>
          <cell r="Q398">
            <v>153.21780223231133</v>
          </cell>
          <cell r="R398">
            <v>545.74135973660452</v>
          </cell>
          <cell r="S398">
            <v>3837.5545626195894</v>
          </cell>
          <cell r="T398">
            <v>6646.8154373804082</v>
          </cell>
          <cell r="U398">
            <v>2250.0900592789376</v>
          </cell>
          <cell r="V398">
            <v>2935.6249943626985</v>
          </cell>
          <cell r="W398">
            <v>2656.0395866217586</v>
          </cell>
          <cell r="X398">
            <v>0</v>
          </cell>
          <cell r="Y398">
            <v>0</v>
          </cell>
        </row>
        <row r="399">
          <cell r="J399">
            <v>0</v>
          </cell>
          <cell r="K399">
            <v>0</v>
          </cell>
          <cell r="L399">
            <v>0</v>
          </cell>
          <cell r="M399">
            <v>0</v>
          </cell>
          <cell r="N399">
            <v>0</v>
          </cell>
          <cell r="O399">
            <v>0</v>
          </cell>
          <cell r="P399">
            <v>1166.544098341393</v>
          </cell>
          <cell r="Q399">
            <v>91.958301658606629</v>
          </cell>
          <cell r="R399">
            <v>327.54319573220909</v>
          </cell>
          <cell r="S399">
            <v>2303.2245271712577</v>
          </cell>
          <cell r="T399">
            <v>3989.2874728287406</v>
          </cell>
          <cell r="U399">
            <v>1350.4596555723829</v>
          </cell>
          <cell r="V399">
            <v>1761.9041968689783</v>
          </cell>
          <cell r="W399">
            <v>1594.1025518264287</v>
          </cell>
          <cell r="X399">
            <v>0</v>
          </cell>
          <cell r="Y399">
            <v>0</v>
          </cell>
        </row>
        <row r="400">
          <cell r="J400">
            <v>0</v>
          </cell>
          <cell r="K400">
            <v>0</v>
          </cell>
          <cell r="L400">
            <v>0</v>
          </cell>
          <cell r="M400">
            <v>0</v>
          </cell>
          <cell r="N400">
            <v>0</v>
          </cell>
          <cell r="O400">
            <v>0</v>
          </cell>
          <cell r="P400">
            <v>16003.56411172196</v>
          </cell>
          <cell r="Q400">
            <v>1261.5558882780381</v>
          </cell>
          <cell r="R400">
            <v>4493.4936790744914</v>
          </cell>
          <cell r="S400">
            <v>31597.435053405563</v>
          </cell>
          <cell r="T400">
            <v>54728.164946594428</v>
          </cell>
          <cell r="U400">
            <v>18526.661537249242</v>
          </cell>
          <cell r="V400">
            <v>24171.17948082303</v>
          </cell>
          <cell r="W400">
            <v>21869.145302853227</v>
          </cell>
          <cell r="X400">
            <v>0</v>
          </cell>
          <cell r="Y400">
            <v>0</v>
          </cell>
        </row>
        <row r="401">
          <cell r="J401">
            <v>0</v>
          </cell>
          <cell r="K401">
            <v>0</v>
          </cell>
          <cell r="L401">
            <v>0</v>
          </cell>
          <cell r="M401">
            <v>0</v>
          </cell>
          <cell r="N401">
            <v>0</v>
          </cell>
          <cell r="O401">
            <v>0</v>
          </cell>
          <cell r="P401">
            <v>6455.6621946406567</v>
          </cell>
          <cell r="Q401">
            <v>508.89780535934256</v>
          </cell>
          <cell r="R401">
            <v>1812.6260540057087</v>
          </cell>
          <cell r="S401">
            <v>12746.058659050515</v>
          </cell>
          <cell r="T401">
            <v>22076.74134094948</v>
          </cell>
          <cell r="U401">
            <v>7473.452016311765</v>
          </cell>
          <cell r="V401">
            <v>9750.38863123806</v>
          </cell>
          <cell r="W401">
            <v>8821.7732984444629</v>
          </cell>
          <cell r="X401">
            <v>0</v>
          </cell>
          <cell r="Y401">
            <v>0</v>
          </cell>
        </row>
        <row r="403">
          <cell r="J403">
            <v>0</v>
          </cell>
          <cell r="K403">
            <v>0</v>
          </cell>
          <cell r="L403">
            <v>0</v>
          </cell>
          <cell r="M403">
            <v>0</v>
          </cell>
          <cell r="N403">
            <v>0</v>
          </cell>
          <cell r="O403">
            <v>0</v>
          </cell>
          <cell r="P403">
            <v>6214.4888156888519</v>
          </cell>
          <cell r="Q403">
            <v>489.88618431114702</v>
          </cell>
          <cell r="R403">
            <v>1744.9091975407669</v>
          </cell>
          <cell r="S403">
            <v>12269.885968714721</v>
          </cell>
          <cell r="T403">
            <v>21251.989031285273</v>
          </cell>
          <cell r="U403">
            <v>7194.2556115332764</v>
          </cell>
          <cell r="V403">
            <v>9386.1294582222945</v>
          </cell>
          <cell r="W403">
            <v>8492.20573270366</v>
          </cell>
          <cell r="X403">
            <v>0</v>
          </cell>
          <cell r="Y403">
            <v>0</v>
          </cell>
        </row>
        <row r="405">
          <cell r="J405">
            <v>0</v>
          </cell>
          <cell r="K405">
            <v>0</v>
          </cell>
          <cell r="L405">
            <v>0</v>
          </cell>
          <cell r="M405">
            <v>0</v>
          </cell>
          <cell r="N405">
            <v>0</v>
          </cell>
          <cell r="O405">
            <v>0</v>
          </cell>
          <cell r="P405">
            <v>0</v>
          </cell>
          <cell r="Q405">
            <v>0</v>
          </cell>
          <cell r="R405">
            <v>0</v>
          </cell>
          <cell r="S405">
            <v>684.81661464084175</v>
          </cell>
          <cell r="T405">
            <v>17413.826626294871</v>
          </cell>
          <cell r="U405">
            <v>6143.7534001113172</v>
          </cell>
          <cell r="V405">
            <v>12121.198320523514</v>
          </cell>
          <cell r="W405">
            <v>5303.027624182012</v>
          </cell>
          <cell r="X405">
            <v>6818.1774142474524</v>
          </cell>
          <cell r="Y405">
            <v>0</v>
          </cell>
        </row>
        <row r="407">
          <cell r="J407">
            <v>0</v>
          </cell>
          <cell r="K407">
            <v>0</v>
          </cell>
          <cell r="L407">
            <v>0</v>
          </cell>
          <cell r="M407">
            <v>0</v>
          </cell>
          <cell r="N407">
            <v>0</v>
          </cell>
          <cell r="O407">
            <v>0</v>
          </cell>
          <cell r="P407">
            <v>2723.9999472444383</v>
          </cell>
          <cell r="Q407">
            <v>214.73205275556123</v>
          </cell>
          <cell r="R407">
            <v>764.84690905675359</v>
          </cell>
          <cell r="S407">
            <v>5378.2651675380557</v>
          </cell>
          <cell r="T407">
            <v>9315.3948324619414</v>
          </cell>
          <cell r="U407">
            <v>3153.461610037089</v>
          </cell>
          <cell r="V407">
            <v>4114.2267541747769</v>
          </cell>
          <cell r="W407">
            <v>3722.3927267313793</v>
          </cell>
          <cell r="X407">
            <v>0</v>
          </cell>
          <cell r="Y407">
            <v>0</v>
          </cell>
        </row>
        <row r="408">
          <cell r="J408">
            <v>0</v>
          </cell>
          <cell r="K408">
            <v>0</v>
          </cell>
          <cell r="L408">
            <v>0</v>
          </cell>
          <cell r="M408">
            <v>0</v>
          </cell>
          <cell r="N408">
            <v>0</v>
          </cell>
          <cell r="O408">
            <v>0</v>
          </cell>
          <cell r="P408">
            <v>62.16643928804762</v>
          </cell>
          <cell r="Q408">
            <v>4.900560711952374</v>
          </cell>
          <cell r="R408">
            <v>17.4551431194506</v>
          </cell>
          <cell r="S408">
            <v>122.74141023791036</v>
          </cell>
          <cell r="T408">
            <v>212.59358976208958</v>
          </cell>
          <cell r="U408">
            <v>71.967504964847919</v>
          </cell>
          <cell r="V408">
            <v>93.893844597683554</v>
          </cell>
          <cell r="W408">
            <v>84.951507318017917</v>
          </cell>
          <cell r="X408">
            <v>0</v>
          </cell>
          <cell r="Y408">
            <v>0</v>
          </cell>
        </row>
        <row r="409">
          <cell r="J409">
            <v>0</v>
          </cell>
          <cell r="K409">
            <v>0</v>
          </cell>
          <cell r="L409">
            <v>0</v>
          </cell>
          <cell r="M409">
            <v>0</v>
          </cell>
          <cell r="N409">
            <v>0</v>
          </cell>
          <cell r="O409">
            <v>0</v>
          </cell>
          <cell r="P409">
            <v>910.98717002837759</v>
          </cell>
          <cell r="Q409">
            <v>71.812829971622307</v>
          </cell>
          <cell r="R409">
            <v>255.78771464052437</v>
          </cell>
          <cell r="S409">
            <v>1798.6529587102193</v>
          </cell>
          <cell r="T409">
            <v>3115.3470412897796</v>
          </cell>
          <cell r="U409">
            <v>1054.6120130534023</v>
          </cell>
          <cell r="V409">
            <v>1375.9206535345756</v>
          </cell>
          <cell r="W409">
            <v>1244.8796187714972</v>
          </cell>
          <cell r="X409">
            <v>0</v>
          </cell>
          <cell r="Y409">
            <v>0</v>
          </cell>
        </row>
        <row r="410">
          <cell r="J410">
            <v>0</v>
          </cell>
          <cell r="K410">
            <v>0</v>
          </cell>
          <cell r="L410">
            <v>0</v>
          </cell>
          <cell r="M410">
            <v>0</v>
          </cell>
          <cell r="N410">
            <v>0</v>
          </cell>
          <cell r="O410">
            <v>0</v>
          </cell>
          <cell r="P410">
            <v>9.6020717280463614</v>
          </cell>
          <cell r="Q410">
            <v>0.7569282719536381</v>
          </cell>
          <cell r="R410">
            <v>2.6960774684179811</v>
          </cell>
          <cell r="S410">
            <v>18.958329262595811</v>
          </cell>
          <cell r="T410">
            <v>32.836670737404177</v>
          </cell>
          <cell r="U410">
            <v>11.115919661396209</v>
          </cell>
          <cell r="V410">
            <v>14.502606888445941</v>
          </cell>
          <cell r="W410">
            <v>13.121395981739866</v>
          </cell>
          <cell r="X410">
            <v>0</v>
          </cell>
          <cell r="Y410">
            <v>0</v>
          </cell>
        </row>
        <row r="411">
          <cell r="J411">
            <v>0</v>
          </cell>
          <cell r="K411">
            <v>0</v>
          </cell>
          <cell r="L411">
            <v>0</v>
          </cell>
          <cell r="M411">
            <v>0</v>
          </cell>
          <cell r="N411">
            <v>0</v>
          </cell>
          <cell r="O411">
            <v>0</v>
          </cell>
          <cell r="P411">
            <v>124.43113319557327</v>
          </cell>
          <cell r="Q411">
            <v>9.8088668044267209</v>
          </cell>
          <cell r="R411">
            <v>34.937874250451763</v>
          </cell>
          <cell r="S411">
            <v>245.67681438467633</v>
          </cell>
          <cell r="T411">
            <v>425.52318561532365</v>
          </cell>
          <cell r="U411">
            <v>144.04875522210901</v>
          </cell>
          <cell r="V411">
            <v>187.93608926585418</v>
          </cell>
          <cell r="W411">
            <v>170.03728126158506</v>
          </cell>
          <cell r="X411">
            <v>0</v>
          </cell>
          <cell r="Y411">
            <v>0</v>
          </cell>
        </row>
        <row r="412">
          <cell r="J412">
            <v>0</v>
          </cell>
          <cell r="K412">
            <v>0</v>
          </cell>
          <cell r="L412">
            <v>0</v>
          </cell>
          <cell r="M412">
            <v>0</v>
          </cell>
          <cell r="N412">
            <v>0</v>
          </cell>
          <cell r="O412">
            <v>0</v>
          </cell>
          <cell r="P412">
            <v>777.69458247233285</v>
          </cell>
          <cell r="Q412">
            <v>61.305417527666997</v>
          </cell>
          <cell r="R412">
            <v>218.36171406532355</v>
          </cell>
          <cell r="S412">
            <v>1535.480089904227</v>
          </cell>
          <cell r="T412">
            <v>2659.519910095773</v>
          </cell>
          <cell r="U412">
            <v>900.30472013818121</v>
          </cell>
          <cell r="V412">
            <v>1174.6005579115886</v>
          </cell>
          <cell r="W412">
            <v>1062.7330078849066</v>
          </cell>
          <cell r="X412">
            <v>0</v>
          </cell>
          <cell r="Y412">
            <v>0</v>
          </cell>
        </row>
        <row r="413">
          <cell r="J413">
            <v>0</v>
          </cell>
          <cell r="K413">
            <v>0</v>
          </cell>
          <cell r="L413">
            <v>0</v>
          </cell>
          <cell r="M413">
            <v>0</v>
          </cell>
          <cell r="N413">
            <v>0</v>
          </cell>
          <cell r="O413">
            <v>0</v>
          </cell>
          <cell r="P413">
            <v>29.331784705309303</v>
          </cell>
          <cell r="Q413">
            <v>2.3122152946906964</v>
          </cell>
          <cell r="R413">
            <v>8.2358022406234781</v>
          </cell>
          <cell r="S413">
            <v>57.912672187043334</v>
          </cell>
          <cell r="T413">
            <v>100.30732781295664</v>
          </cell>
          <cell r="U413">
            <v>33.956188991719436</v>
          </cell>
          <cell r="V413">
            <v>44.301621042377</v>
          </cell>
          <cell r="W413">
            <v>40.082387725280071</v>
          </cell>
          <cell r="X413">
            <v>0</v>
          </cell>
          <cell r="Y413">
            <v>0</v>
          </cell>
        </row>
        <row r="414">
          <cell r="J414">
            <v>0</v>
          </cell>
          <cell r="K414">
            <v>0</v>
          </cell>
          <cell r="L414">
            <v>0</v>
          </cell>
          <cell r="M414">
            <v>0</v>
          </cell>
          <cell r="N414">
            <v>0</v>
          </cell>
          <cell r="O414">
            <v>0</v>
          </cell>
          <cell r="P414">
            <v>71.877888800041219</v>
          </cell>
          <cell r="Q414">
            <v>5.6661111999587712</v>
          </cell>
          <cell r="R414">
            <v>20.181931770538078</v>
          </cell>
          <cell r="S414">
            <v>141.91569498394918</v>
          </cell>
          <cell r="T414">
            <v>245.80430501605076</v>
          </cell>
          <cell r="U414">
            <v>83.210046744213486</v>
          </cell>
          <cell r="V414">
            <v>108.5616515645962</v>
          </cell>
          <cell r="W414">
            <v>98.222369920652184</v>
          </cell>
          <cell r="X414">
            <v>0</v>
          </cell>
          <cell r="Y414">
            <v>0</v>
          </cell>
        </row>
        <row r="415">
          <cell r="J415">
            <v>0</v>
          </cell>
          <cell r="K415">
            <v>0</v>
          </cell>
          <cell r="L415">
            <v>0</v>
          </cell>
          <cell r="M415">
            <v>0</v>
          </cell>
          <cell r="N415">
            <v>0</v>
          </cell>
          <cell r="O415">
            <v>0</v>
          </cell>
          <cell r="P415">
            <v>151.84509896031614</v>
          </cell>
          <cell r="Q415">
            <v>11.969901039683874</v>
          </cell>
          <cell r="R415">
            <v>42.635189737319401</v>
          </cell>
          <cell r="S415">
            <v>299.80294508660421</v>
          </cell>
          <cell r="T415">
            <v>519.27205491339566</v>
          </cell>
          <cell r="U415">
            <v>175.78476487417899</v>
          </cell>
          <cell r="V415">
            <v>229.34110893240393</v>
          </cell>
          <cell r="W415">
            <v>207.49893645609771</v>
          </cell>
          <cell r="X415">
            <v>0</v>
          </cell>
          <cell r="Y415">
            <v>0</v>
          </cell>
        </row>
        <row r="416">
          <cell r="J416">
            <v>0</v>
          </cell>
          <cell r="K416">
            <v>0</v>
          </cell>
          <cell r="L416">
            <v>0</v>
          </cell>
          <cell r="M416">
            <v>0</v>
          </cell>
          <cell r="N416">
            <v>0</v>
          </cell>
          <cell r="O416">
            <v>0</v>
          </cell>
          <cell r="P416">
            <v>339.42336377797238</v>
          </cell>
          <cell r="Q416">
            <v>26.756636222027531</v>
          </cell>
          <cell r="R416">
            <v>95.303566694207589</v>
          </cell>
          <cell r="S416">
            <v>670.15744853531567</v>
          </cell>
          <cell r="T416">
            <v>1160.7425514646841</v>
          </cell>
          <cell r="U416">
            <v>392.93633184767481</v>
          </cell>
          <cell r="V416">
            <v>512.6522434994821</v>
          </cell>
          <cell r="W416">
            <v>463.82785795863532</v>
          </cell>
          <cell r="X416">
            <v>0</v>
          </cell>
          <cell r="Y416">
            <v>0</v>
          </cell>
        </row>
        <row r="417">
          <cell r="J417">
            <v>0</v>
          </cell>
          <cell r="K417">
            <v>0</v>
          </cell>
          <cell r="L417">
            <v>0</v>
          </cell>
          <cell r="M417">
            <v>0</v>
          </cell>
          <cell r="N417">
            <v>0</v>
          </cell>
          <cell r="O417">
            <v>0</v>
          </cell>
          <cell r="P417">
            <v>5.5893901457785073</v>
          </cell>
          <cell r="Q417">
            <v>0.44060985422149224</v>
          </cell>
          <cell r="R417">
            <v>1.5693934872632906</v>
          </cell>
          <cell r="S417">
            <v>11.035691230181751</v>
          </cell>
          <cell r="T417">
            <v>19.114308769818244</v>
          </cell>
          <cell r="U417">
            <v>6.4706048419943185</v>
          </cell>
          <cell r="V417">
            <v>8.4420040097817388</v>
          </cell>
          <cell r="W417">
            <v>7.637997660960651</v>
          </cell>
          <cell r="X417">
            <v>0</v>
          </cell>
          <cell r="Y417">
            <v>0</v>
          </cell>
        </row>
        <row r="418">
          <cell r="J418">
            <v>0</v>
          </cell>
          <cell r="K418">
            <v>0</v>
          </cell>
          <cell r="L418">
            <v>0</v>
          </cell>
          <cell r="M418">
            <v>0</v>
          </cell>
          <cell r="N418">
            <v>0</v>
          </cell>
          <cell r="O418">
            <v>0</v>
          </cell>
          <cell r="P418">
            <v>319.20701235518152</v>
          </cell>
          <cell r="Q418">
            <v>25.16298764481845</v>
          </cell>
          <cell r="R418">
            <v>89.627203185548822</v>
          </cell>
          <cell r="S418">
            <v>630.24228672266815</v>
          </cell>
          <cell r="T418">
            <v>1091.6077132773316</v>
          </cell>
          <cell r="U418">
            <v>369.53270139926752</v>
          </cell>
          <cell r="V418">
            <v>482.11822899644062</v>
          </cell>
          <cell r="W418">
            <v>436.20186641874284</v>
          </cell>
          <cell r="X418">
            <v>0</v>
          </cell>
          <cell r="Y418">
            <v>0</v>
          </cell>
        </row>
        <row r="419">
          <cell r="J419">
            <v>0</v>
          </cell>
          <cell r="K419">
            <v>0</v>
          </cell>
          <cell r="L419">
            <v>0</v>
          </cell>
          <cell r="M419">
            <v>0</v>
          </cell>
          <cell r="N419">
            <v>0</v>
          </cell>
          <cell r="O419">
            <v>0</v>
          </cell>
          <cell r="P419">
            <v>4.1767482581887156</v>
          </cell>
          <cell r="Q419">
            <v>0.32925174181128425</v>
          </cell>
          <cell r="R419">
            <v>1.1727507551589367</v>
          </cell>
          <cell r="S419">
            <v>8.2465712575786014</v>
          </cell>
          <cell r="T419">
            <v>14.283428742421396</v>
          </cell>
          <cell r="U419">
            <v>4.8352479963559531</v>
          </cell>
          <cell r="V419">
            <v>6.308402996364264</v>
          </cell>
          <cell r="W419">
            <v>5.707598252120845</v>
          </cell>
          <cell r="X419">
            <v>0</v>
          </cell>
          <cell r="Y419">
            <v>0</v>
          </cell>
        </row>
        <row r="420">
          <cell r="J420">
            <v>0</v>
          </cell>
          <cell r="K420">
            <v>0</v>
          </cell>
          <cell r="L420">
            <v>0</v>
          </cell>
          <cell r="M420">
            <v>0</v>
          </cell>
          <cell r="N420">
            <v>0</v>
          </cell>
          <cell r="O420">
            <v>0</v>
          </cell>
          <cell r="P420">
            <v>4.1767482581887156</v>
          </cell>
          <cell r="Q420">
            <v>0.32925174181128425</v>
          </cell>
          <cell r="R420">
            <v>1.1727507551589367</v>
          </cell>
          <cell r="S420">
            <v>8.2465712575786014</v>
          </cell>
          <cell r="T420">
            <v>14.283428742421396</v>
          </cell>
          <cell r="U420">
            <v>4.8352479963559531</v>
          </cell>
          <cell r="V420">
            <v>6.308402996364264</v>
          </cell>
          <cell r="W420">
            <v>5.707598252120845</v>
          </cell>
          <cell r="X420">
            <v>0</v>
          </cell>
          <cell r="Y420">
            <v>0</v>
          </cell>
        </row>
        <row r="421">
          <cell r="J421">
            <v>0</v>
          </cell>
          <cell r="K421">
            <v>0</v>
          </cell>
          <cell r="L421">
            <v>0</v>
          </cell>
          <cell r="M421">
            <v>0</v>
          </cell>
          <cell r="N421">
            <v>0</v>
          </cell>
          <cell r="O421">
            <v>0</v>
          </cell>
          <cell r="P421">
            <v>11.408659023920707</v>
          </cell>
          <cell r="Q421">
            <v>0.8993409760792912</v>
          </cell>
          <cell r="R421">
            <v>3.2033325109845077</v>
          </cell>
          <cell r="S421">
            <v>22.525255001836978</v>
          </cell>
          <cell r="T421">
            <v>39.01474499816301</v>
          </cell>
          <cell r="U421">
            <v>13.207330745483592</v>
          </cell>
          <cell r="V421">
            <v>17.231208184476557</v>
          </cell>
          <cell r="W421">
            <v>15.590128559055339</v>
          </cell>
          <cell r="X421">
            <v>0</v>
          </cell>
          <cell r="Y421">
            <v>0</v>
          </cell>
        </row>
        <row r="422">
          <cell r="J422">
            <v>0</v>
          </cell>
          <cell r="K422">
            <v>0</v>
          </cell>
          <cell r="L422">
            <v>0</v>
          </cell>
          <cell r="M422">
            <v>0</v>
          </cell>
          <cell r="N422">
            <v>0</v>
          </cell>
          <cell r="O422">
            <v>0</v>
          </cell>
          <cell r="P422">
            <v>7.924327753940374</v>
          </cell>
          <cell r="Q422">
            <v>0.62467224605962468</v>
          </cell>
          <cell r="R422">
            <v>2.2249991579790831</v>
          </cell>
          <cell r="S422">
            <v>15.645791762325667</v>
          </cell>
          <cell r="T422">
            <v>27.099208237674322</v>
          </cell>
          <cell r="U422">
            <v>9.1736651400015621</v>
          </cell>
          <cell r="V422">
            <v>11.968605684846446</v>
          </cell>
          <cell r="W422">
            <v>10.828730017172903</v>
          </cell>
          <cell r="X422">
            <v>0</v>
          </cell>
          <cell r="Y422">
            <v>0</v>
          </cell>
        </row>
        <row r="423">
          <cell r="J423">
            <v>0</v>
          </cell>
          <cell r="K423">
            <v>0</v>
          </cell>
          <cell r="L423">
            <v>0</v>
          </cell>
          <cell r="M423">
            <v>0</v>
          </cell>
          <cell r="N423">
            <v>0</v>
          </cell>
          <cell r="O423">
            <v>0</v>
          </cell>
          <cell r="P423">
            <v>16.465991135921957</v>
          </cell>
          <cell r="Q423">
            <v>1.2980088640780409</v>
          </cell>
          <cell r="R423">
            <v>4.623334313058888</v>
          </cell>
          <cell r="S423">
            <v>32.510450914253497</v>
          </cell>
          <cell r="T423">
            <v>56.309549085746482</v>
          </cell>
          <cell r="U423">
            <v>19.061994098372647</v>
          </cell>
          <cell r="V423">
            <v>24.869611812564308</v>
          </cell>
          <cell r="W423">
            <v>22.501059776004148</v>
          </cell>
          <cell r="X423">
            <v>0</v>
          </cell>
          <cell r="Y423">
            <v>0</v>
          </cell>
        </row>
        <row r="424">
          <cell r="J424">
            <v>0</v>
          </cell>
          <cell r="K424">
            <v>0</v>
          </cell>
          <cell r="L424">
            <v>0</v>
          </cell>
          <cell r="M424">
            <v>0</v>
          </cell>
          <cell r="N424">
            <v>0</v>
          </cell>
          <cell r="O424">
            <v>0</v>
          </cell>
          <cell r="P424">
            <v>5.7061833727052225</v>
          </cell>
          <cell r="Q424">
            <v>0.44981662729477712</v>
          </cell>
          <cell r="R424">
            <v>1.6021867840120758</v>
          </cell>
          <cell r="S424">
            <v>11.266287763349727</v>
          </cell>
          <cell r="T424">
            <v>19.513712236650267</v>
          </cell>
          <cell r="U424">
            <v>6.6058115103344983</v>
          </cell>
          <cell r="V424">
            <v>8.6184040935682216</v>
          </cell>
          <cell r="W424">
            <v>7.7975976120852026</v>
          </cell>
          <cell r="X424">
            <v>0</v>
          </cell>
          <cell r="Y424">
            <v>0</v>
          </cell>
        </row>
        <row r="425">
          <cell r="J425">
            <v>0</v>
          </cell>
          <cell r="K425">
            <v>0</v>
          </cell>
          <cell r="L425">
            <v>0</v>
          </cell>
          <cell r="M425">
            <v>0</v>
          </cell>
          <cell r="N425">
            <v>0</v>
          </cell>
          <cell r="O425">
            <v>0</v>
          </cell>
          <cell r="P425">
            <v>7.9373047791544531</v>
          </cell>
          <cell r="Q425">
            <v>0.62569522084554519</v>
          </cell>
          <cell r="R425">
            <v>2.228642857617837</v>
          </cell>
          <cell r="S425">
            <v>15.671413599344332</v>
          </cell>
          <cell r="T425">
            <v>27.143586400655661</v>
          </cell>
          <cell r="U425">
            <v>9.1886881031504704</v>
          </cell>
          <cell r="V425">
            <v>11.988205694156056</v>
          </cell>
          <cell r="W425">
            <v>10.84646334507563</v>
          </cell>
          <cell r="X425">
            <v>0</v>
          </cell>
          <cell r="Y425">
            <v>0</v>
          </cell>
        </row>
        <row r="426">
          <cell r="J426">
            <v>0</v>
          </cell>
          <cell r="K426">
            <v>0</v>
          </cell>
          <cell r="L426">
            <v>0</v>
          </cell>
          <cell r="M426">
            <v>0</v>
          </cell>
          <cell r="N426">
            <v>0</v>
          </cell>
          <cell r="O426">
            <v>0</v>
          </cell>
          <cell r="P426">
            <v>5.7061833727052225</v>
          </cell>
          <cell r="Q426">
            <v>0.44981662729477712</v>
          </cell>
          <cell r="R426">
            <v>1.6021867840120758</v>
          </cell>
          <cell r="S426">
            <v>11.266287763349727</v>
          </cell>
          <cell r="T426">
            <v>19.513712236650267</v>
          </cell>
          <cell r="U426">
            <v>6.6058115103344983</v>
          </cell>
          <cell r="V426">
            <v>8.6184040935682216</v>
          </cell>
          <cell r="W426">
            <v>7.7975976120852026</v>
          </cell>
          <cell r="X426">
            <v>0</v>
          </cell>
          <cell r="Y426">
            <v>0</v>
          </cell>
        </row>
        <row r="427">
          <cell r="J427">
            <v>0</v>
          </cell>
          <cell r="K427">
            <v>0</v>
          </cell>
          <cell r="L427">
            <v>0</v>
          </cell>
          <cell r="M427">
            <v>0</v>
          </cell>
          <cell r="N427">
            <v>0</v>
          </cell>
          <cell r="O427">
            <v>0</v>
          </cell>
          <cell r="P427">
            <v>8.7168532223716557</v>
          </cell>
          <cell r="Q427">
            <v>0.68714677762834375</v>
          </cell>
          <cell r="R427">
            <v>2.447525100202983</v>
          </cell>
          <cell r="S427">
            <v>17.210553951679799</v>
          </cell>
          <cell r="T427">
            <v>29.809446048320197</v>
          </cell>
          <cell r="U427">
            <v>10.091138960881354</v>
          </cell>
          <cell r="V427">
            <v>13.165606253397589</v>
          </cell>
          <cell r="W427">
            <v>11.911729685518072</v>
          </cell>
          <cell r="X427">
            <v>0</v>
          </cell>
          <cell r="Y427">
            <v>0</v>
          </cell>
        </row>
        <row r="428">
          <cell r="J428">
            <v>0</v>
          </cell>
          <cell r="K428">
            <v>0</v>
          </cell>
          <cell r="L428">
            <v>0</v>
          </cell>
          <cell r="M428">
            <v>0</v>
          </cell>
          <cell r="N428">
            <v>0</v>
          </cell>
          <cell r="O428">
            <v>0</v>
          </cell>
          <cell r="P428">
            <v>26.065282072851012</v>
          </cell>
          <cell r="Q428">
            <v>2.0547179271489817</v>
          </cell>
          <cell r="R428">
            <v>7.3186309886971364</v>
          </cell>
          <cell r="S428">
            <v>51.463289783202455</v>
          </cell>
          <cell r="T428">
            <v>89.13671021679751</v>
          </cell>
          <cell r="U428">
            <v>30.174694553379805</v>
          </cell>
          <cell r="V428">
            <v>39.368018699015337</v>
          </cell>
          <cell r="W428">
            <v>35.618655758907714</v>
          </cell>
          <cell r="X428">
            <v>0</v>
          </cell>
          <cell r="Y428">
            <v>0</v>
          </cell>
        </row>
        <row r="429">
          <cell r="J429">
            <v>0</v>
          </cell>
          <cell r="K429">
            <v>0</v>
          </cell>
          <cell r="L429">
            <v>0</v>
          </cell>
          <cell r="M429">
            <v>0</v>
          </cell>
          <cell r="N429">
            <v>0</v>
          </cell>
          <cell r="O429">
            <v>0</v>
          </cell>
          <cell r="P429">
            <v>17.959275965913527</v>
          </cell>
          <cell r="Q429">
            <v>1.4157240340864696</v>
          </cell>
          <cell r="R429">
            <v>5.0426200357754976</v>
          </cell>
          <cell r="S429">
            <v>35.458792302615493</v>
          </cell>
          <cell r="T429">
            <v>61.416207697384493</v>
          </cell>
          <cell r="U429">
            <v>20.790707929293518</v>
          </cell>
          <cell r="V429">
            <v>27.125012883834358</v>
          </cell>
          <cell r="W429">
            <v>24.541659151096621</v>
          </cell>
          <cell r="X429">
            <v>0</v>
          </cell>
          <cell r="Y429">
            <v>0</v>
          </cell>
        </row>
        <row r="430">
          <cell r="J430">
            <v>0</v>
          </cell>
          <cell r="K430">
            <v>0</v>
          </cell>
          <cell r="L430">
            <v>0</v>
          </cell>
          <cell r="M430">
            <v>0</v>
          </cell>
          <cell r="N430">
            <v>0</v>
          </cell>
          <cell r="O430">
            <v>0</v>
          </cell>
          <cell r="P430">
            <v>34.246369539955673</v>
          </cell>
          <cell r="Q430">
            <v>2.6996304600443199</v>
          </cell>
          <cell r="R430">
            <v>9.6157233466715653</v>
          </cell>
          <cell r="S430">
            <v>67.61602789225455</v>
          </cell>
          <cell r="T430">
            <v>117.11397210774543</v>
          </cell>
          <cell r="U430">
            <v>39.645599749970494</v>
          </cell>
          <cell r="V430">
            <v>51.72442456805905</v>
          </cell>
          <cell r="W430">
            <v>46.798252335298876</v>
          </cell>
          <cell r="X430">
            <v>0</v>
          </cell>
          <cell r="Y430">
            <v>0</v>
          </cell>
        </row>
        <row r="431">
          <cell r="J431">
            <v>0</v>
          </cell>
          <cell r="K431">
            <v>0</v>
          </cell>
          <cell r="L431">
            <v>0</v>
          </cell>
          <cell r="M431">
            <v>0</v>
          </cell>
          <cell r="N431">
            <v>0</v>
          </cell>
          <cell r="O431">
            <v>0</v>
          </cell>
          <cell r="P431">
            <v>56.261892815641467</v>
          </cell>
          <cell r="Q431">
            <v>4.4351071843585261</v>
          </cell>
          <cell r="R431">
            <v>15.797259783817569</v>
          </cell>
          <cell r="S431">
            <v>111.0834743944182</v>
          </cell>
          <cell r="T431">
            <v>192.40152560558175</v>
          </cell>
          <cell r="U431">
            <v>65.132056732094384</v>
          </cell>
          <cell r="V431">
            <v>84.975840361811308</v>
          </cell>
          <cell r="W431">
            <v>76.882843122276739</v>
          </cell>
          <cell r="X431">
            <v>0</v>
          </cell>
          <cell r="Y431">
            <v>0</v>
          </cell>
        </row>
        <row r="432">
          <cell r="J432">
            <v>0</v>
          </cell>
          <cell r="K432">
            <v>0</v>
          </cell>
          <cell r="L432">
            <v>0</v>
          </cell>
          <cell r="M432">
            <v>0</v>
          </cell>
          <cell r="N432">
            <v>0</v>
          </cell>
          <cell r="O432">
            <v>0</v>
          </cell>
          <cell r="P432">
            <v>4.2870529725083903</v>
          </cell>
          <cell r="Q432">
            <v>0.33794702749160888</v>
          </cell>
          <cell r="R432">
            <v>1.2037222020883449</v>
          </cell>
          <cell r="S432">
            <v>8.4643568722372464</v>
          </cell>
          <cell r="T432">
            <v>14.66064312776275</v>
          </cell>
          <cell r="U432">
            <v>4.9629431831216779</v>
          </cell>
          <cell r="V432">
            <v>6.4750030754959429</v>
          </cell>
          <cell r="W432">
            <v>5.8583315392940323</v>
          </cell>
          <cell r="X432">
            <v>0</v>
          </cell>
          <cell r="Y432">
            <v>0</v>
          </cell>
        </row>
        <row r="433">
          <cell r="J433">
            <v>0</v>
          </cell>
          <cell r="K433">
            <v>0</v>
          </cell>
          <cell r="L433">
            <v>0</v>
          </cell>
          <cell r="M433">
            <v>0</v>
          </cell>
          <cell r="N433">
            <v>0</v>
          </cell>
          <cell r="O433">
            <v>0</v>
          </cell>
          <cell r="P433">
            <v>366.34142179346298</v>
          </cell>
          <cell r="Q433">
            <v>28.878578206537007</v>
          </cell>
          <cell r="R433">
            <v>102.86164080202285</v>
          </cell>
          <cell r="S433">
            <v>723.30445903688758</v>
          </cell>
          <cell r="T433">
            <v>1252.7955409631124</v>
          </cell>
          <cell r="U433">
            <v>424.09824969369726</v>
          </cell>
          <cell r="V433">
            <v>553.3082628102718</v>
          </cell>
          <cell r="W433">
            <v>500.61184669400808</v>
          </cell>
          <cell r="X433">
            <v>0</v>
          </cell>
          <cell r="Y433">
            <v>0</v>
          </cell>
        </row>
        <row r="434">
          <cell r="J434">
            <v>0</v>
          </cell>
          <cell r="K434">
            <v>0</v>
          </cell>
          <cell r="L434">
            <v>0</v>
          </cell>
          <cell r="M434">
            <v>0</v>
          </cell>
          <cell r="N434">
            <v>0</v>
          </cell>
          <cell r="O434">
            <v>0</v>
          </cell>
          <cell r="P434">
            <v>325.0494544926346</v>
          </cell>
          <cell r="Q434">
            <v>25.623545507365396</v>
          </cell>
          <cell r="R434">
            <v>91.267648815767814</v>
          </cell>
          <cell r="S434">
            <v>641.77760377471384</v>
          </cell>
          <cell r="T434">
            <v>1111.5873962252858</v>
          </cell>
          <cell r="U434">
            <v>376.29625402266561</v>
          </cell>
          <cell r="V434">
            <v>490.94243318775978</v>
          </cell>
          <cell r="W434">
            <v>444.1856639738067</v>
          </cell>
          <cell r="X434">
            <v>0</v>
          </cell>
          <cell r="Y434">
            <v>0</v>
          </cell>
        </row>
        <row r="435">
          <cell r="J435">
            <v>0</v>
          </cell>
          <cell r="K435">
            <v>0</v>
          </cell>
          <cell r="L435">
            <v>0</v>
          </cell>
          <cell r="M435">
            <v>0</v>
          </cell>
          <cell r="N435">
            <v>0</v>
          </cell>
          <cell r="O435">
            <v>0</v>
          </cell>
          <cell r="P435">
            <v>290.9402706477992</v>
          </cell>
          <cell r="Q435">
            <v>22.934729352200808</v>
          </cell>
          <cell r="R435">
            <v>81.690444579563078</v>
          </cell>
          <cell r="S435">
            <v>574.43243530237089</v>
          </cell>
          <cell r="T435">
            <v>994.94256469762877</v>
          </cell>
          <cell r="U435">
            <v>336.80946845455497</v>
          </cell>
          <cell r="V435">
            <v>439.42520871811661</v>
          </cell>
          <cell r="W435">
            <v>397.57487824776524</v>
          </cell>
          <cell r="X435">
            <v>0</v>
          </cell>
          <cell r="Y435">
            <v>0</v>
          </cell>
        </row>
        <row r="436">
          <cell r="J436">
            <v>0</v>
          </cell>
          <cell r="K436">
            <v>0</v>
          </cell>
          <cell r="L436">
            <v>0</v>
          </cell>
          <cell r="M436">
            <v>0</v>
          </cell>
          <cell r="N436">
            <v>0</v>
          </cell>
          <cell r="O436">
            <v>0</v>
          </cell>
          <cell r="P436">
            <v>7068.1592461377577</v>
          </cell>
          <cell r="Q436">
            <v>557.18075386224109</v>
          </cell>
          <cell r="R436">
            <v>1984.6034716696952</v>
          </cell>
          <cell r="S436">
            <v>13955.37276370715</v>
          </cell>
          <cell r="T436">
            <v>24171.327236292844</v>
          </cell>
          <cell r="U436">
            <v>8182.5144155643366</v>
          </cell>
          <cell r="V436">
            <v>10675.481070638321</v>
          </cell>
          <cell r="W436">
            <v>9658.761042127644</v>
          </cell>
          <cell r="X436">
            <v>0</v>
          </cell>
          <cell r="Y436">
            <v>0</v>
          </cell>
        </row>
        <row r="438">
          <cell r="J438">
            <v>0</v>
          </cell>
          <cell r="K438">
            <v>0</v>
          </cell>
          <cell r="L438">
            <v>0</v>
          </cell>
          <cell r="M438">
            <v>0</v>
          </cell>
          <cell r="N438">
            <v>0</v>
          </cell>
          <cell r="O438">
            <v>0</v>
          </cell>
          <cell r="P438">
            <v>0</v>
          </cell>
          <cell r="Q438">
            <v>0</v>
          </cell>
          <cell r="R438">
            <v>0</v>
          </cell>
          <cell r="S438">
            <v>0</v>
          </cell>
          <cell r="T438">
            <v>1403.0674459634715</v>
          </cell>
          <cell r="U438">
            <v>1035.6525540365287</v>
          </cell>
          <cell r="V438">
            <v>609.68000000000006</v>
          </cell>
          <cell r="W438">
            <v>609.68000000000006</v>
          </cell>
          <cell r="X438">
            <v>609.68000000000006</v>
          </cell>
          <cell r="Y438">
            <v>609.68000000000006</v>
          </cell>
        </row>
        <row r="439">
          <cell r="J439">
            <v>0</v>
          </cell>
          <cell r="K439">
            <v>0</v>
          </cell>
          <cell r="L439">
            <v>0</v>
          </cell>
          <cell r="M439">
            <v>0</v>
          </cell>
          <cell r="N439">
            <v>0</v>
          </cell>
          <cell r="O439">
            <v>0</v>
          </cell>
          <cell r="P439">
            <v>0</v>
          </cell>
          <cell r="Q439">
            <v>0</v>
          </cell>
          <cell r="R439">
            <v>0</v>
          </cell>
          <cell r="S439">
            <v>0</v>
          </cell>
          <cell r="T439">
            <v>4147.1990826370511</v>
          </cell>
          <cell r="U439">
            <v>3061.1909173629506</v>
          </cell>
          <cell r="V439">
            <v>1802.0975000000008</v>
          </cell>
          <cell r="W439">
            <v>1802.0975000000008</v>
          </cell>
          <cell r="X439">
            <v>1802.0975000000008</v>
          </cell>
          <cell r="Y439">
            <v>1802.0975000000008</v>
          </cell>
        </row>
        <row r="440">
          <cell r="J440">
            <v>0</v>
          </cell>
          <cell r="K440">
            <v>0</v>
          </cell>
          <cell r="L440">
            <v>0</v>
          </cell>
          <cell r="M440">
            <v>0</v>
          </cell>
          <cell r="N440">
            <v>0</v>
          </cell>
          <cell r="O440">
            <v>0</v>
          </cell>
          <cell r="P440">
            <v>0</v>
          </cell>
          <cell r="Q440">
            <v>0</v>
          </cell>
          <cell r="R440">
            <v>0</v>
          </cell>
          <cell r="S440">
            <v>0</v>
          </cell>
          <cell r="T440">
            <v>583.18845430198326</v>
          </cell>
          <cell r="U440">
            <v>430.47154569801688</v>
          </cell>
          <cell r="V440">
            <v>253.41500000000005</v>
          </cell>
          <cell r="W440">
            <v>253.41500000000005</v>
          </cell>
          <cell r="X440">
            <v>253.41500000000005</v>
          </cell>
          <cell r="Y440">
            <v>253.41500000000005</v>
          </cell>
        </row>
        <row r="441">
          <cell r="J441">
            <v>0</v>
          </cell>
          <cell r="K441">
            <v>0</v>
          </cell>
          <cell r="L441">
            <v>0</v>
          </cell>
          <cell r="M441">
            <v>0</v>
          </cell>
          <cell r="N441">
            <v>0</v>
          </cell>
          <cell r="O441">
            <v>0</v>
          </cell>
          <cell r="P441">
            <v>0</v>
          </cell>
          <cell r="Q441">
            <v>0</v>
          </cell>
          <cell r="R441">
            <v>0</v>
          </cell>
          <cell r="S441">
            <v>0</v>
          </cell>
          <cell r="T441">
            <v>507.04360107026099</v>
          </cell>
          <cell r="U441">
            <v>374.26639892973901</v>
          </cell>
          <cell r="V441">
            <v>220.32750000000004</v>
          </cell>
          <cell r="W441">
            <v>220.32750000000004</v>
          </cell>
          <cell r="X441">
            <v>220.32750000000004</v>
          </cell>
          <cell r="Y441">
            <v>220.32750000000004</v>
          </cell>
        </row>
        <row r="442">
          <cell r="J442">
            <v>0</v>
          </cell>
          <cell r="K442">
            <v>0</v>
          </cell>
          <cell r="L442">
            <v>0</v>
          </cell>
          <cell r="M442">
            <v>0</v>
          </cell>
          <cell r="N442">
            <v>0</v>
          </cell>
          <cell r="O442">
            <v>0</v>
          </cell>
          <cell r="P442">
            <v>0</v>
          </cell>
          <cell r="Q442">
            <v>0</v>
          </cell>
          <cell r="R442">
            <v>0</v>
          </cell>
          <cell r="S442">
            <v>0</v>
          </cell>
          <cell r="T442">
            <v>626.11953815654397</v>
          </cell>
          <cell r="U442">
            <v>462.16046184345618</v>
          </cell>
          <cell r="V442">
            <v>272.07000000000005</v>
          </cell>
          <cell r="W442">
            <v>272.07000000000005</v>
          </cell>
          <cell r="X442">
            <v>272.07000000000005</v>
          </cell>
          <cell r="Y442">
            <v>272.07000000000005</v>
          </cell>
        </row>
        <row r="443">
          <cell r="J443">
            <v>0</v>
          </cell>
          <cell r="K443">
            <v>0</v>
          </cell>
          <cell r="L443">
            <v>0</v>
          </cell>
          <cell r="M443">
            <v>0</v>
          </cell>
          <cell r="N443">
            <v>0</v>
          </cell>
          <cell r="O443">
            <v>0</v>
          </cell>
          <cell r="P443">
            <v>0</v>
          </cell>
          <cell r="Q443">
            <v>0</v>
          </cell>
          <cell r="R443">
            <v>0</v>
          </cell>
          <cell r="S443">
            <v>0</v>
          </cell>
          <cell r="T443">
            <v>417.41302543769592</v>
          </cell>
          <cell r="U443">
            <v>308.10697456230412</v>
          </cell>
          <cell r="V443">
            <v>181.38000000000005</v>
          </cell>
          <cell r="W443">
            <v>181.38000000000005</v>
          </cell>
          <cell r="X443">
            <v>181.38000000000005</v>
          </cell>
          <cell r="Y443">
            <v>181.38000000000005</v>
          </cell>
        </row>
        <row r="444">
          <cell r="J444">
            <v>0</v>
          </cell>
          <cell r="K444">
            <v>0</v>
          </cell>
          <cell r="L444">
            <v>0</v>
          </cell>
          <cell r="M444">
            <v>0</v>
          </cell>
          <cell r="N444">
            <v>0</v>
          </cell>
          <cell r="O444">
            <v>0</v>
          </cell>
          <cell r="P444">
            <v>0</v>
          </cell>
          <cell r="Q444">
            <v>0</v>
          </cell>
          <cell r="R444">
            <v>0</v>
          </cell>
          <cell r="S444">
            <v>0</v>
          </cell>
          <cell r="T444">
            <v>96.085772106006175</v>
          </cell>
          <cell r="U444">
            <v>70.924227893993844</v>
          </cell>
          <cell r="V444">
            <v>41.752500000000005</v>
          </cell>
          <cell r="W444">
            <v>41.752500000000005</v>
          </cell>
          <cell r="X444">
            <v>41.752500000000005</v>
          </cell>
          <cell r="Y444">
            <v>41.752500000000005</v>
          </cell>
        </row>
        <row r="445">
          <cell r="J445">
            <v>0</v>
          </cell>
          <cell r="K445">
            <v>0</v>
          </cell>
          <cell r="L445">
            <v>0</v>
          </cell>
          <cell r="M445">
            <v>0</v>
          </cell>
          <cell r="N445">
            <v>0</v>
          </cell>
          <cell r="O445">
            <v>0</v>
          </cell>
          <cell r="P445">
            <v>0</v>
          </cell>
          <cell r="Q445">
            <v>0</v>
          </cell>
          <cell r="R445">
            <v>0</v>
          </cell>
          <cell r="S445">
            <v>0</v>
          </cell>
          <cell r="T445">
            <v>125.18018259280777</v>
          </cell>
          <cell r="U445">
            <v>92.399817407192273</v>
          </cell>
          <cell r="V445">
            <v>54.395000000000017</v>
          </cell>
          <cell r="W445">
            <v>54.395000000000017</v>
          </cell>
          <cell r="X445">
            <v>54.395000000000017</v>
          </cell>
          <cell r="Y445">
            <v>54.395000000000017</v>
          </cell>
        </row>
        <row r="446">
          <cell r="J446">
            <v>0</v>
          </cell>
          <cell r="K446">
            <v>0</v>
          </cell>
          <cell r="L446">
            <v>0</v>
          </cell>
          <cell r="M446">
            <v>0</v>
          </cell>
          <cell r="N446">
            <v>0</v>
          </cell>
          <cell r="O446">
            <v>0</v>
          </cell>
          <cell r="P446">
            <v>0</v>
          </cell>
          <cell r="Q446">
            <v>0</v>
          </cell>
          <cell r="R446">
            <v>0</v>
          </cell>
          <cell r="S446">
            <v>0</v>
          </cell>
          <cell r="T446">
            <v>37.051216835080524</v>
          </cell>
          <cell r="U446">
            <v>27.348783164919489</v>
          </cell>
          <cell r="V446">
            <v>16.100000000000005</v>
          </cell>
          <cell r="W446">
            <v>16.100000000000005</v>
          </cell>
          <cell r="X446">
            <v>16.100000000000005</v>
          </cell>
          <cell r="Y446">
            <v>16.100000000000005</v>
          </cell>
        </row>
        <row r="447">
          <cell r="J447">
            <v>0</v>
          </cell>
          <cell r="K447">
            <v>0</v>
          </cell>
          <cell r="L447">
            <v>0</v>
          </cell>
          <cell r="M447">
            <v>0</v>
          </cell>
          <cell r="N447">
            <v>0</v>
          </cell>
          <cell r="O447">
            <v>0</v>
          </cell>
          <cell r="P447">
            <v>0</v>
          </cell>
          <cell r="Q447">
            <v>0</v>
          </cell>
          <cell r="R447">
            <v>0</v>
          </cell>
          <cell r="S447">
            <v>0</v>
          </cell>
          <cell r="T447">
            <v>119.08456702809227</v>
          </cell>
          <cell r="U447">
            <v>87.900432971907776</v>
          </cell>
          <cell r="V447">
            <v>51.746250000000018</v>
          </cell>
          <cell r="W447">
            <v>51.746250000000018</v>
          </cell>
          <cell r="X447">
            <v>51.746250000000018</v>
          </cell>
          <cell r="Y447">
            <v>51.746250000000018</v>
          </cell>
        </row>
        <row r="448">
          <cell r="J448">
            <v>0</v>
          </cell>
          <cell r="K448">
            <v>0</v>
          </cell>
          <cell r="L448">
            <v>0</v>
          </cell>
          <cell r="M448">
            <v>0</v>
          </cell>
          <cell r="N448">
            <v>0</v>
          </cell>
          <cell r="O448">
            <v>0</v>
          </cell>
          <cell r="P448">
            <v>0</v>
          </cell>
          <cell r="Q448">
            <v>0</v>
          </cell>
          <cell r="R448">
            <v>0</v>
          </cell>
          <cell r="S448">
            <v>0</v>
          </cell>
          <cell r="T448">
            <v>1349.6250929850457</v>
          </cell>
          <cell r="U448">
            <v>996.20490701495464</v>
          </cell>
          <cell r="V448">
            <v>586.45750000000021</v>
          </cell>
          <cell r="W448">
            <v>586.45750000000021</v>
          </cell>
          <cell r="X448">
            <v>586.45750000000021</v>
          </cell>
          <cell r="Y448">
            <v>586.45750000000021</v>
          </cell>
        </row>
        <row r="449">
          <cell r="J449">
            <v>0</v>
          </cell>
          <cell r="K449">
            <v>0</v>
          </cell>
          <cell r="L449">
            <v>0</v>
          </cell>
          <cell r="M449">
            <v>0</v>
          </cell>
          <cell r="N449">
            <v>0</v>
          </cell>
          <cell r="O449">
            <v>0</v>
          </cell>
          <cell r="P449">
            <v>0</v>
          </cell>
          <cell r="Q449">
            <v>0</v>
          </cell>
          <cell r="R449">
            <v>0</v>
          </cell>
          <cell r="S449">
            <v>0</v>
          </cell>
          <cell r="T449">
            <v>851.83278953447552</v>
          </cell>
          <cell r="U449">
            <v>628.76721046552461</v>
          </cell>
          <cell r="V449">
            <v>370.15000000000009</v>
          </cell>
          <cell r="W449">
            <v>370.15000000000009</v>
          </cell>
          <cell r="X449">
            <v>370.15000000000009</v>
          </cell>
          <cell r="Y449">
            <v>370.15000000000009</v>
          </cell>
        </row>
        <row r="450">
          <cell r="J450">
            <v>0</v>
          </cell>
          <cell r="K450">
            <v>0</v>
          </cell>
          <cell r="L450">
            <v>0</v>
          </cell>
          <cell r="M450">
            <v>0</v>
          </cell>
          <cell r="N450">
            <v>0</v>
          </cell>
          <cell r="O450">
            <v>0</v>
          </cell>
          <cell r="P450">
            <v>0</v>
          </cell>
          <cell r="Q450">
            <v>0</v>
          </cell>
          <cell r="R450">
            <v>0</v>
          </cell>
          <cell r="S450">
            <v>0</v>
          </cell>
          <cell r="T450">
            <v>255.54983686034262</v>
          </cell>
          <cell r="U450">
            <v>188.63016313965741</v>
          </cell>
          <cell r="V450">
            <v>111.04500000000003</v>
          </cell>
          <cell r="W450">
            <v>111.04500000000003</v>
          </cell>
          <cell r="X450">
            <v>111.04500000000003</v>
          </cell>
          <cell r="Y450">
            <v>111.04500000000003</v>
          </cell>
        </row>
        <row r="451">
          <cell r="J451">
            <v>0</v>
          </cell>
          <cell r="K451">
            <v>0</v>
          </cell>
          <cell r="L451">
            <v>0</v>
          </cell>
          <cell r="M451">
            <v>0</v>
          </cell>
          <cell r="N451">
            <v>0</v>
          </cell>
          <cell r="O451">
            <v>0</v>
          </cell>
          <cell r="P451">
            <v>0</v>
          </cell>
          <cell r="Q451">
            <v>0</v>
          </cell>
          <cell r="R451">
            <v>0</v>
          </cell>
          <cell r="S451">
            <v>0</v>
          </cell>
          <cell r="T451">
            <v>68.616667326644077</v>
          </cell>
          <cell r="U451">
            <v>50.648332673355938</v>
          </cell>
          <cell r="V451">
            <v>29.816250000000007</v>
          </cell>
          <cell r="W451">
            <v>29.816250000000007</v>
          </cell>
          <cell r="X451">
            <v>29.816250000000007</v>
          </cell>
          <cell r="Y451">
            <v>29.816250000000007</v>
          </cell>
        </row>
        <row r="452">
          <cell r="J452">
            <v>0</v>
          </cell>
          <cell r="K452">
            <v>0</v>
          </cell>
          <cell r="L452">
            <v>0</v>
          </cell>
          <cell r="M452">
            <v>0</v>
          </cell>
          <cell r="N452">
            <v>0</v>
          </cell>
          <cell r="O452">
            <v>0</v>
          </cell>
          <cell r="P452">
            <v>0</v>
          </cell>
          <cell r="Q452">
            <v>0</v>
          </cell>
          <cell r="R452">
            <v>0</v>
          </cell>
          <cell r="S452">
            <v>0</v>
          </cell>
          <cell r="T452">
            <v>6194.4399050223583</v>
          </cell>
          <cell r="U452">
            <v>4572.3300949776431</v>
          </cell>
          <cell r="V452">
            <v>2691.6925000000006</v>
          </cell>
          <cell r="W452">
            <v>2691.6925000000006</v>
          </cell>
          <cell r="X452">
            <v>2691.6925000000006</v>
          </cell>
          <cell r="Y452">
            <v>2691.6925000000006</v>
          </cell>
        </row>
        <row r="453">
          <cell r="J453">
            <v>0</v>
          </cell>
          <cell r="K453">
            <v>0</v>
          </cell>
          <cell r="L453">
            <v>0</v>
          </cell>
          <cell r="M453">
            <v>0</v>
          </cell>
          <cell r="N453">
            <v>0</v>
          </cell>
          <cell r="O453">
            <v>0</v>
          </cell>
          <cell r="P453">
            <v>0</v>
          </cell>
          <cell r="Q453">
            <v>0</v>
          </cell>
          <cell r="R453">
            <v>0</v>
          </cell>
          <cell r="S453">
            <v>0</v>
          </cell>
          <cell r="T453">
            <v>27.092263987017731</v>
          </cell>
          <cell r="U453">
            <v>19.99773601298228</v>
          </cell>
          <cell r="V453">
            <v>11.772500000000003</v>
          </cell>
          <cell r="W453">
            <v>11.772500000000003</v>
          </cell>
          <cell r="X453">
            <v>11.772500000000003</v>
          </cell>
          <cell r="Y453">
            <v>11.772500000000003</v>
          </cell>
        </row>
        <row r="454">
          <cell r="J454">
            <v>0</v>
          </cell>
          <cell r="K454">
            <v>0</v>
          </cell>
          <cell r="L454">
            <v>0</v>
          </cell>
          <cell r="M454">
            <v>0</v>
          </cell>
          <cell r="N454">
            <v>0</v>
          </cell>
          <cell r="O454">
            <v>0</v>
          </cell>
          <cell r="P454">
            <v>0</v>
          </cell>
          <cell r="Q454">
            <v>0</v>
          </cell>
          <cell r="R454">
            <v>0</v>
          </cell>
          <cell r="S454">
            <v>0</v>
          </cell>
          <cell r="T454">
            <v>39.985397050280994</v>
          </cell>
          <cell r="U454">
            <v>29.514602949719013</v>
          </cell>
          <cell r="V454">
            <v>17.375000000000004</v>
          </cell>
          <cell r="W454">
            <v>17.375000000000004</v>
          </cell>
          <cell r="X454">
            <v>17.375000000000004</v>
          </cell>
          <cell r="Y454">
            <v>17.375000000000004</v>
          </cell>
        </row>
        <row r="455">
          <cell r="J455">
            <v>0</v>
          </cell>
          <cell r="K455">
            <v>0</v>
          </cell>
          <cell r="L455">
            <v>0</v>
          </cell>
          <cell r="M455">
            <v>0</v>
          </cell>
          <cell r="N455">
            <v>0</v>
          </cell>
          <cell r="O455">
            <v>0</v>
          </cell>
          <cell r="P455">
            <v>0</v>
          </cell>
          <cell r="Q455">
            <v>0</v>
          </cell>
          <cell r="R455">
            <v>0</v>
          </cell>
          <cell r="S455">
            <v>0</v>
          </cell>
          <cell r="T455">
            <v>102.53233863763781</v>
          </cell>
          <cell r="U455">
            <v>75.682661362362211</v>
          </cell>
          <cell r="V455">
            <v>44.553750000000015</v>
          </cell>
          <cell r="W455">
            <v>44.553750000000015</v>
          </cell>
          <cell r="X455">
            <v>44.553750000000015</v>
          </cell>
          <cell r="Y455">
            <v>44.553750000000015</v>
          </cell>
        </row>
        <row r="456">
          <cell r="J456">
            <v>0</v>
          </cell>
          <cell r="K456">
            <v>0</v>
          </cell>
          <cell r="L456">
            <v>0</v>
          </cell>
          <cell r="M456">
            <v>0</v>
          </cell>
          <cell r="N456">
            <v>0</v>
          </cell>
          <cell r="O456">
            <v>0</v>
          </cell>
          <cell r="P456">
            <v>0</v>
          </cell>
          <cell r="Q456">
            <v>0</v>
          </cell>
          <cell r="R456">
            <v>0</v>
          </cell>
          <cell r="S456">
            <v>0</v>
          </cell>
          <cell r="T456">
            <v>167.16197284833299</v>
          </cell>
          <cell r="U456">
            <v>123.38802715166703</v>
          </cell>
          <cell r="V456">
            <v>72.637500000000017</v>
          </cell>
          <cell r="W456">
            <v>72.637500000000017</v>
          </cell>
          <cell r="X456">
            <v>72.637500000000017</v>
          </cell>
          <cell r="Y456">
            <v>72.637500000000017</v>
          </cell>
        </row>
        <row r="457">
          <cell r="J457">
            <v>0</v>
          </cell>
          <cell r="K457">
            <v>0</v>
          </cell>
          <cell r="L457">
            <v>0</v>
          </cell>
          <cell r="M457">
            <v>0</v>
          </cell>
          <cell r="N457">
            <v>0</v>
          </cell>
          <cell r="O457">
            <v>0</v>
          </cell>
          <cell r="P457">
            <v>0</v>
          </cell>
          <cell r="Q457">
            <v>0</v>
          </cell>
          <cell r="R457">
            <v>0</v>
          </cell>
          <cell r="S457">
            <v>0</v>
          </cell>
          <cell r="T457">
            <v>488.58990883446592</v>
          </cell>
          <cell r="U457">
            <v>360.64509116553415</v>
          </cell>
          <cell r="V457">
            <v>212.30875000000003</v>
          </cell>
          <cell r="W457">
            <v>212.30875000000003</v>
          </cell>
          <cell r="X457">
            <v>212.30875000000003</v>
          </cell>
          <cell r="Y457">
            <v>212.30875000000003</v>
          </cell>
        </row>
        <row r="458">
          <cell r="J458">
            <v>0</v>
          </cell>
          <cell r="K458">
            <v>0</v>
          </cell>
          <cell r="L458">
            <v>0</v>
          </cell>
          <cell r="M458">
            <v>0</v>
          </cell>
          <cell r="N458">
            <v>0</v>
          </cell>
          <cell r="O458">
            <v>0</v>
          </cell>
          <cell r="P458">
            <v>0</v>
          </cell>
          <cell r="Q458">
            <v>0</v>
          </cell>
          <cell r="R458">
            <v>0</v>
          </cell>
          <cell r="S458">
            <v>0</v>
          </cell>
          <cell r="T458">
            <v>4954.9242395836154</v>
          </cell>
          <cell r="U458">
            <v>3657.4007604163849</v>
          </cell>
          <cell r="V458">
            <v>2153.0812500000002</v>
          </cell>
          <cell r="W458">
            <v>2153.0812500000002</v>
          </cell>
          <cell r="X458">
            <v>2153.0812500000002</v>
          </cell>
          <cell r="Y458">
            <v>2153.0812500000002</v>
          </cell>
        </row>
        <row r="459">
          <cell r="J459">
            <v>0</v>
          </cell>
          <cell r="K459">
            <v>0</v>
          </cell>
          <cell r="L459">
            <v>0</v>
          </cell>
          <cell r="M459">
            <v>0</v>
          </cell>
          <cell r="N459">
            <v>0</v>
          </cell>
          <cell r="O459">
            <v>0</v>
          </cell>
          <cell r="P459">
            <v>0</v>
          </cell>
          <cell r="Q459">
            <v>0</v>
          </cell>
          <cell r="R459">
            <v>0</v>
          </cell>
          <cell r="S459">
            <v>0</v>
          </cell>
          <cell r="T459">
            <v>167.10443990293692</v>
          </cell>
          <cell r="U459">
            <v>123.34556009706311</v>
          </cell>
          <cell r="V459">
            <v>72.612500000000011</v>
          </cell>
          <cell r="W459">
            <v>72.612500000000011</v>
          </cell>
          <cell r="X459">
            <v>72.612500000000011</v>
          </cell>
          <cell r="Y459">
            <v>72.612500000000011</v>
          </cell>
        </row>
        <row r="460">
          <cell r="J460">
            <v>0</v>
          </cell>
          <cell r="K460">
            <v>0</v>
          </cell>
          <cell r="L460">
            <v>0</v>
          </cell>
          <cell r="M460">
            <v>0</v>
          </cell>
          <cell r="N460">
            <v>0</v>
          </cell>
          <cell r="O460">
            <v>0</v>
          </cell>
          <cell r="P460">
            <v>0</v>
          </cell>
          <cell r="Q460">
            <v>0</v>
          </cell>
          <cell r="R460">
            <v>0</v>
          </cell>
          <cell r="S460">
            <v>0</v>
          </cell>
          <cell r="T460">
            <v>87.231451809548261</v>
          </cell>
          <cell r="U460">
            <v>64.388548190451758</v>
          </cell>
          <cell r="V460">
            <v>37.905000000000008</v>
          </cell>
          <cell r="W460">
            <v>37.905000000000008</v>
          </cell>
          <cell r="X460">
            <v>37.905000000000008</v>
          </cell>
          <cell r="Y460">
            <v>37.905000000000008</v>
          </cell>
        </row>
        <row r="461">
          <cell r="J461">
            <v>0</v>
          </cell>
          <cell r="K461">
            <v>0</v>
          </cell>
          <cell r="L461">
            <v>0</v>
          </cell>
          <cell r="M461">
            <v>0</v>
          </cell>
          <cell r="N461">
            <v>0</v>
          </cell>
          <cell r="O461">
            <v>0</v>
          </cell>
          <cell r="P461">
            <v>0</v>
          </cell>
          <cell r="Q461">
            <v>0</v>
          </cell>
          <cell r="R461">
            <v>0</v>
          </cell>
          <cell r="S461">
            <v>0</v>
          </cell>
          <cell r="T461">
            <v>8.0344758245636569</v>
          </cell>
          <cell r="U461">
            <v>5.9305241754363456</v>
          </cell>
          <cell r="V461">
            <v>3.4912500000000009</v>
          </cell>
          <cell r="W461">
            <v>3.4912500000000009</v>
          </cell>
          <cell r="X461">
            <v>3.4912500000000009</v>
          </cell>
          <cell r="Y461">
            <v>3.4912500000000009</v>
          </cell>
        </row>
        <row r="462">
          <cell r="J462">
            <v>0</v>
          </cell>
          <cell r="K462">
            <v>0</v>
          </cell>
          <cell r="L462">
            <v>0</v>
          </cell>
          <cell r="M462">
            <v>0</v>
          </cell>
          <cell r="N462">
            <v>0</v>
          </cell>
          <cell r="O462">
            <v>0</v>
          </cell>
          <cell r="P462">
            <v>0</v>
          </cell>
          <cell r="Q462">
            <v>0</v>
          </cell>
          <cell r="R462">
            <v>0</v>
          </cell>
          <cell r="S462">
            <v>0</v>
          </cell>
          <cell r="T462">
            <v>280.38680938783369</v>
          </cell>
          <cell r="U462">
            <v>206.96319061216633</v>
          </cell>
          <cell r="V462">
            <v>121.83750000000002</v>
          </cell>
          <cell r="W462">
            <v>121.83750000000002</v>
          </cell>
          <cell r="X462">
            <v>121.83750000000002</v>
          </cell>
          <cell r="Y462">
            <v>121.83750000000002</v>
          </cell>
        </row>
        <row r="463">
          <cell r="J463">
            <v>0</v>
          </cell>
          <cell r="K463">
            <v>0</v>
          </cell>
          <cell r="L463">
            <v>0</v>
          </cell>
          <cell r="M463">
            <v>0</v>
          </cell>
          <cell r="N463">
            <v>0</v>
          </cell>
          <cell r="O463">
            <v>0</v>
          </cell>
          <cell r="P463">
            <v>0</v>
          </cell>
          <cell r="Q463">
            <v>0</v>
          </cell>
          <cell r="R463">
            <v>0</v>
          </cell>
          <cell r="S463">
            <v>0</v>
          </cell>
          <cell r="T463">
            <v>12.46163597279261</v>
          </cell>
          <cell r="U463">
            <v>9.1983640272073934</v>
          </cell>
          <cell r="V463">
            <v>5.4150000000000009</v>
          </cell>
          <cell r="W463">
            <v>5.4150000000000009</v>
          </cell>
          <cell r="X463">
            <v>5.4150000000000009</v>
          </cell>
          <cell r="Y463">
            <v>5.4150000000000009</v>
          </cell>
        </row>
        <row r="464">
          <cell r="J464">
            <v>0</v>
          </cell>
          <cell r="K464">
            <v>0</v>
          </cell>
          <cell r="L464">
            <v>0</v>
          </cell>
          <cell r="M464">
            <v>0</v>
          </cell>
          <cell r="N464">
            <v>0</v>
          </cell>
          <cell r="O464">
            <v>0</v>
          </cell>
          <cell r="P464">
            <v>0</v>
          </cell>
          <cell r="Q464">
            <v>0</v>
          </cell>
          <cell r="R464">
            <v>0</v>
          </cell>
          <cell r="S464">
            <v>0</v>
          </cell>
          <cell r="T464">
            <v>2773.249060338539</v>
          </cell>
          <cell r="U464">
            <v>2047.0309396614612</v>
          </cell>
          <cell r="V464">
            <v>1205.0700000000004</v>
          </cell>
          <cell r="W464">
            <v>1205.0700000000004</v>
          </cell>
          <cell r="X464">
            <v>1205.0700000000004</v>
          </cell>
          <cell r="Y464">
            <v>1205.0700000000004</v>
          </cell>
        </row>
        <row r="465">
          <cell r="J465">
            <v>0</v>
          </cell>
          <cell r="K465">
            <v>0</v>
          </cell>
          <cell r="L465">
            <v>0</v>
          </cell>
          <cell r="M465">
            <v>0</v>
          </cell>
          <cell r="N465">
            <v>0</v>
          </cell>
          <cell r="O465">
            <v>0</v>
          </cell>
          <cell r="P465">
            <v>0</v>
          </cell>
          <cell r="Q465">
            <v>0</v>
          </cell>
          <cell r="R465">
            <v>0</v>
          </cell>
          <cell r="S465">
            <v>0</v>
          </cell>
          <cell r="T465">
            <v>32.137903298254628</v>
          </cell>
          <cell r="U465">
            <v>23.722096701745382</v>
          </cell>
          <cell r="V465">
            <v>13.965000000000003</v>
          </cell>
          <cell r="W465">
            <v>13.965000000000003</v>
          </cell>
          <cell r="X465">
            <v>13.965000000000003</v>
          </cell>
          <cell r="Y465">
            <v>13.965000000000003</v>
          </cell>
        </row>
        <row r="466">
          <cell r="J466">
            <v>0</v>
          </cell>
          <cell r="K466">
            <v>0</v>
          </cell>
          <cell r="L466">
            <v>0</v>
          </cell>
          <cell r="M466">
            <v>0</v>
          </cell>
          <cell r="N466">
            <v>0</v>
          </cell>
          <cell r="O466">
            <v>0</v>
          </cell>
          <cell r="P466">
            <v>0</v>
          </cell>
          <cell r="Q466">
            <v>0</v>
          </cell>
          <cell r="R466">
            <v>0</v>
          </cell>
          <cell r="S466">
            <v>0</v>
          </cell>
          <cell r="T466">
            <v>68.495848141312294</v>
          </cell>
          <cell r="U466">
            <v>50.559151858687727</v>
          </cell>
          <cell r="V466">
            <v>29.763750000000009</v>
          </cell>
          <cell r="W466">
            <v>29.763750000000009</v>
          </cell>
          <cell r="X466">
            <v>29.763750000000009</v>
          </cell>
          <cell r="Y466">
            <v>29.763750000000009</v>
          </cell>
        </row>
        <row r="467">
          <cell r="J467">
            <v>0</v>
          </cell>
          <cell r="K467">
            <v>0</v>
          </cell>
          <cell r="L467">
            <v>0</v>
          </cell>
          <cell r="M467">
            <v>0</v>
          </cell>
          <cell r="N467">
            <v>0</v>
          </cell>
          <cell r="O467">
            <v>0</v>
          </cell>
          <cell r="P467">
            <v>0</v>
          </cell>
          <cell r="Q467">
            <v>0</v>
          </cell>
          <cell r="R467">
            <v>0</v>
          </cell>
          <cell r="S467">
            <v>0</v>
          </cell>
          <cell r="T467">
            <v>245.69444331399279</v>
          </cell>
          <cell r="U467">
            <v>181.35555668600725</v>
          </cell>
          <cell r="V467">
            <v>106.76250000000003</v>
          </cell>
          <cell r="W467">
            <v>106.76250000000003</v>
          </cell>
          <cell r="X467">
            <v>106.76250000000003</v>
          </cell>
          <cell r="Y467">
            <v>106.76250000000003</v>
          </cell>
        </row>
        <row r="468">
          <cell r="J468">
            <v>0</v>
          </cell>
          <cell r="K468">
            <v>0</v>
          </cell>
          <cell r="L468">
            <v>0</v>
          </cell>
          <cell r="M468">
            <v>0</v>
          </cell>
          <cell r="N468">
            <v>0</v>
          </cell>
          <cell r="O468">
            <v>0</v>
          </cell>
          <cell r="P468">
            <v>0</v>
          </cell>
          <cell r="Q468">
            <v>0</v>
          </cell>
          <cell r="R468">
            <v>0</v>
          </cell>
          <cell r="S468">
            <v>0</v>
          </cell>
          <cell r="T468">
            <v>1168.5631605290178</v>
          </cell>
          <cell r="U468">
            <v>862.55683947098237</v>
          </cell>
          <cell r="V468">
            <v>507.78000000000009</v>
          </cell>
          <cell r="W468">
            <v>507.78000000000009</v>
          </cell>
          <cell r="X468">
            <v>507.78000000000009</v>
          </cell>
          <cell r="Y468">
            <v>507.78000000000009</v>
          </cell>
        </row>
        <row r="470">
          <cell r="J470">
            <v>0</v>
          </cell>
          <cell r="K470">
            <v>0</v>
          </cell>
          <cell r="L470">
            <v>0</v>
          </cell>
          <cell r="M470">
            <v>0</v>
          </cell>
          <cell r="N470">
            <v>0</v>
          </cell>
          <cell r="O470">
            <v>0</v>
          </cell>
          <cell r="P470">
            <v>0</v>
          </cell>
          <cell r="Q470">
            <v>0</v>
          </cell>
          <cell r="R470">
            <v>0</v>
          </cell>
          <cell r="S470">
            <v>23655.423965485734</v>
          </cell>
          <cell r="T470">
            <v>57227.266622662464</v>
          </cell>
          <cell r="U470">
            <v>33760.089120678131</v>
          </cell>
          <cell r="V470">
            <v>23790.483235933832</v>
          </cell>
          <cell r="W470">
            <v>28277.001955324205</v>
          </cell>
          <cell r="X470">
            <v>18851.335099915643</v>
          </cell>
          <cell r="Y470">
            <v>0</v>
          </cell>
        </row>
        <row r="471">
          <cell r="J471">
            <v>0</v>
          </cell>
          <cell r="K471">
            <v>0</v>
          </cell>
          <cell r="L471">
            <v>0</v>
          </cell>
          <cell r="M471">
            <v>0</v>
          </cell>
          <cell r="N471">
            <v>0</v>
          </cell>
          <cell r="O471">
            <v>0</v>
          </cell>
          <cell r="P471">
            <v>0</v>
          </cell>
          <cell r="Q471">
            <v>0</v>
          </cell>
          <cell r="R471">
            <v>0</v>
          </cell>
          <cell r="S471">
            <v>27900.430701928497</v>
          </cell>
          <cell r="T471">
            <v>67496.798577610884</v>
          </cell>
          <cell r="U471">
            <v>39818.395492581876</v>
          </cell>
          <cell r="V471">
            <v>28059.72659200801</v>
          </cell>
          <cell r="W471">
            <v>33351.358853847531</v>
          </cell>
          <cell r="X471">
            <v>22234.239782023233</v>
          </cell>
          <cell r="Y471">
            <v>0</v>
          </cell>
        </row>
        <row r="472">
          <cell r="J472">
            <v>0</v>
          </cell>
          <cell r="K472">
            <v>0</v>
          </cell>
          <cell r="L472">
            <v>0</v>
          </cell>
          <cell r="M472">
            <v>0</v>
          </cell>
          <cell r="N472">
            <v>0</v>
          </cell>
          <cell r="O472">
            <v>0</v>
          </cell>
          <cell r="P472">
            <v>0</v>
          </cell>
          <cell r="Q472">
            <v>0</v>
          </cell>
          <cell r="R472">
            <v>0</v>
          </cell>
          <cell r="S472">
            <v>6704.461223245431</v>
          </cell>
          <cell r="T472">
            <v>16219.451003869997</v>
          </cell>
          <cell r="U472">
            <v>9568.3429192873828</v>
          </cell>
          <cell r="V472">
            <v>6742.7399555514021</v>
          </cell>
          <cell r="W472">
            <v>8014.3168600873369</v>
          </cell>
          <cell r="X472">
            <v>5342.8780379584596</v>
          </cell>
          <cell r="Y472">
            <v>0</v>
          </cell>
        </row>
        <row r="473">
          <cell r="J473">
            <v>0</v>
          </cell>
          <cell r="K473">
            <v>0</v>
          </cell>
          <cell r="L473">
            <v>0</v>
          </cell>
          <cell r="M473">
            <v>0</v>
          </cell>
          <cell r="N473">
            <v>0</v>
          </cell>
          <cell r="O473">
            <v>0</v>
          </cell>
          <cell r="P473">
            <v>0</v>
          </cell>
          <cell r="Q473">
            <v>0</v>
          </cell>
          <cell r="R473">
            <v>0</v>
          </cell>
          <cell r="S473">
            <v>3777.4222277782274</v>
          </cell>
          <cell r="T473">
            <v>9138.3502274505699</v>
          </cell>
          <cell r="U473">
            <v>5390.9881827647423</v>
          </cell>
          <cell r="V473">
            <v>3798.9892007905278</v>
          </cell>
          <cell r="W473">
            <v>4515.4200523658528</v>
          </cell>
          <cell r="X473">
            <v>3010.2801088500819</v>
          </cell>
          <cell r="Y473">
            <v>0</v>
          </cell>
        </row>
        <row r="474">
          <cell r="J474">
            <v>0</v>
          </cell>
          <cell r="K474">
            <v>0</v>
          </cell>
          <cell r="L474">
            <v>0</v>
          </cell>
          <cell r="M474">
            <v>0</v>
          </cell>
          <cell r="N474">
            <v>0</v>
          </cell>
          <cell r="O474">
            <v>0</v>
          </cell>
          <cell r="P474">
            <v>0</v>
          </cell>
          <cell r="Q474">
            <v>0</v>
          </cell>
          <cell r="R474">
            <v>0</v>
          </cell>
          <cell r="S474">
            <v>1933.9021960884743</v>
          </cell>
          <cell r="T474">
            <v>4678.5015038911424</v>
          </cell>
          <cell r="U474">
            <v>2759.9890234848904</v>
          </cell>
          <cell r="V474">
            <v>1944.9436984560825</v>
          </cell>
          <cell r="W474">
            <v>2311.7301241350497</v>
          </cell>
          <cell r="X474">
            <v>1541.153453944363</v>
          </cell>
          <cell r="Y474">
            <v>0</v>
          </cell>
        </row>
        <row r="477">
          <cell r="J477">
            <v>0</v>
          </cell>
          <cell r="K477">
            <v>0</v>
          </cell>
          <cell r="L477">
            <v>0</v>
          </cell>
          <cell r="M477">
            <v>0</v>
          </cell>
          <cell r="N477">
            <v>0</v>
          </cell>
          <cell r="O477">
            <v>0</v>
          </cell>
          <cell r="P477">
            <v>0</v>
          </cell>
          <cell r="Q477">
            <v>0</v>
          </cell>
          <cell r="R477">
            <v>0</v>
          </cell>
          <cell r="S477">
            <v>0</v>
          </cell>
          <cell r="T477">
            <v>0</v>
          </cell>
          <cell r="U477">
            <v>1485.3215590147643</v>
          </cell>
          <cell r="V477">
            <v>918.14459341719055</v>
          </cell>
          <cell r="W477">
            <v>794.57828527411777</v>
          </cell>
          <cell r="X477">
            <v>740.24207300136891</v>
          </cell>
          <cell r="Y477">
            <v>2125.5934892925588</v>
          </cell>
        </row>
        <row r="478">
          <cell r="J478">
            <v>0</v>
          </cell>
          <cell r="K478">
            <v>0</v>
          </cell>
          <cell r="L478">
            <v>0</v>
          </cell>
          <cell r="M478">
            <v>0</v>
          </cell>
          <cell r="N478">
            <v>0</v>
          </cell>
          <cell r="O478">
            <v>0</v>
          </cell>
          <cell r="P478">
            <v>0</v>
          </cell>
          <cell r="Q478">
            <v>0</v>
          </cell>
          <cell r="R478">
            <v>0</v>
          </cell>
          <cell r="S478">
            <v>0</v>
          </cell>
          <cell r="T478">
            <v>0</v>
          </cell>
          <cell r="U478">
            <v>4224.2068180039732</v>
          </cell>
          <cell r="V478">
            <v>2611.1737407211699</v>
          </cell>
          <cell r="W478">
            <v>3449.096</v>
          </cell>
          <cell r="X478">
            <v>3621.5507999999995</v>
          </cell>
          <cell r="Y478">
            <v>3339.4526412748573</v>
          </cell>
        </row>
        <row r="479">
          <cell r="J479">
            <v>0</v>
          </cell>
          <cell r="K479">
            <v>0</v>
          </cell>
          <cell r="L479">
            <v>0</v>
          </cell>
          <cell r="M479">
            <v>0</v>
          </cell>
          <cell r="N479">
            <v>0</v>
          </cell>
          <cell r="O479">
            <v>0</v>
          </cell>
          <cell r="P479">
            <v>0</v>
          </cell>
          <cell r="Q479">
            <v>0</v>
          </cell>
          <cell r="R479">
            <v>0</v>
          </cell>
          <cell r="S479">
            <v>0</v>
          </cell>
          <cell r="T479">
            <v>0</v>
          </cell>
          <cell r="U479">
            <v>1002.2297775891293</v>
          </cell>
          <cell r="V479">
            <v>619.52366211229651</v>
          </cell>
          <cell r="W479">
            <v>818.32800000000009</v>
          </cell>
          <cell r="X479">
            <v>859.24439999999993</v>
          </cell>
          <cell r="Y479">
            <v>792.31416029857439</v>
          </cell>
        </row>
        <row r="480">
          <cell r="J480">
            <v>0</v>
          </cell>
          <cell r="K480">
            <v>0</v>
          </cell>
          <cell r="L480">
            <v>0</v>
          </cell>
          <cell r="M480">
            <v>0</v>
          </cell>
          <cell r="N480">
            <v>0</v>
          </cell>
          <cell r="O480">
            <v>0</v>
          </cell>
          <cell r="P480">
            <v>0</v>
          </cell>
          <cell r="Q480">
            <v>0</v>
          </cell>
          <cell r="R480">
            <v>0</v>
          </cell>
          <cell r="S480">
            <v>0</v>
          </cell>
          <cell r="T480">
            <v>0</v>
          </cell>
          <cell r="U480">
            <v>165.34327176100882</v>
          </cell>
          <cell r="V480">
            <v>102.20617219477825</v>
          </cell>
          <cell r="W480">
            <v>135.00399999999999</v>
          </cell>
          <cell r="X480">
            <v>141.7542</v>
          </cell>
          <cell r="Y480">
            <v>130.71235604421301</v>
          </cell>
        </row>
        <row r="481">
          <cell r="J481">
            <v>0</v>
          </cell>
          <cell r="K481">
            <v>0</v>
          </cell>
          <cell r="L481">
            <v>0</v>
          </cell>
          <cell r="M481">
            <v>0</v>
          </cell>
          <cell r="N481">
            <v>0</v>
          </cell>
          <cell r="O481">
            <v>0</v>
          </cell>
          <cell r="P481">
            <v>0</v>
          </cell>
          <cell r="Q481">
            <v>0</v>
          </cell>
          <cell r="R481">
            <v>0</v>
          </cell>
          <cell r="S481">
            <v>0</v>
          </cell>
          <cell r="T481">
            <v>0</v>
          </cell>
          <cell r="U481">
            <v>3860.8151196042786</v>
          </cell>
          <cell r="V481">
            <v>2386.5448573972908</v>
          </cell>
          <cell r="W481">
            <v>3152.3840000000005</v>
          </cell>
          <cell r="X481">
            <v>3310.0031999999997</v>
          </cell>
          <cell r="Y481">
            <v>3052.1728229984324</v>
          </cell>
        </row>
        <row r="482">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row>
        <row r="483">
          <cell r="J483">
            <v>0</v>
          </cell>
          <cell r="K483">
            <v>0</v>
          </cell>
          <cell r="L483">
            <v>0</v>
          </cell>
          <cell r="M483">
            <v>0</v>
          </cell>
          <cell r="N483">
            <v>0</v>
          </cell>
          <cell r="O483">
            <v>0</v>
          </cell>
          <cell r="P483">
            <v>0</v>
          </cell>
          <cell r="Q483">
            <v>0</v>
          </cell>
          <cell r="R483">
            <v>0</v>
          </cell>
          <cell r="S483">
            <v>0</v>
          </cell>
          <cell r="T483">
            <v>0</v>
          </cell>
          <cell r="U483">
            <v>2893.5684922520418</v>
          </cell>
          <cell r="V483">
            <v>1788.6458664248985</v>
          </cell>
          <cell r="W483">
            <v>2362.62</v>
          </cell>
          <cell r="X483">
            <v>2480.7509999999997</v>
          </cell>
          <cell r="Y483">
            <v>2287.5146413230609</v>
          </cell>
        </row>
        <row r="484">
          <cell r="J484">
            <v>0</v>
          </cell>
          <cell r="K484">
            <v>0</v>
          </cell>
          <cell r="L484">
            <v>0</v>
          </cell>
          <cell r="M484">
            <v>0</v>
          </cell>
          <cell r="N484">
            <v>0</v>
          </cell>
          <cell r="O484">
            <v>0</v>
          </cell>
          <cell r="P484">
            <v>0</v>
          </cell>
          <cell r="Q484">
            <v>0</v>
          </cell>
          <cell r="R484">
            <v>0</v>
          </cell>
          <cell r="S484">
            <v>0</v>
          </cell>
          <cell r="T484">
            <v>0</v>
          </cell>
          <cell r="U484">
            <v>11249.500415590608</v>
          </cell>
          <cell r="V484">
            <v>6953.8262085619426</v>
          </cell>
          <cell r="W484">
            <v>9185.2999999999993</v>
          </cell>
          <cell r="X484">
            <v>9644.5650000000005</v>
          </cell>
          <cell r="Y484">
            <v>8893.3083758474531</v>
          </cell>
        </row>
        <row r="485">
          <cell r="J485">
            <v>0</v>
          </cell>
          <cell r="K485">
            <v>0</v>
          </cell>
          <cell r="L485">
            <v>0</v>
          </cell>
          <cell r="M485">
            <v>0</v>
          </cell>
          <cell r="N485">
            <v>0</v>
          </cell>
          <cell r="O485">
            <v>0</v>
          </cell>
          <cell r="P485">
            <v>0</v>
          </cell>
          <cell r="Q485">
            <v>0</v>
          </cell>
          <cell r="R485">
            <v>0</v>
          </cell>
          <cell r="S485">
            <v>0</v>
          </cell>
          <cell r="T485">
            <v>0</v>
          </cell>
          <cell r="U485">
            <v>3799.4611112627517</v>
          </cell>
          <cell r="V485">
            <v>2348.6191633269696</v>
          </cell>
          <cell r="W485">
            <v>3102.2880000000005</v>
          </cell>
          <cell r="X485">
            <v>3257.4023999999999</v>
          </cell>
          <cell r="Y485">
            <v>3003.6693254102802</v>
          </cell>
        </row>
        <row r="486">
          <cell r="J486">
            <v>0</v>
          </cell>
          <cell r="K486">
            <v>0</v>
          </cell>
          <cell r="L486">
            <v>0</v>
          </cell>
          <cell r="M486">
            <v>0</v>
          </cell>
          <cell r="N486">
            <v>0</v>
          </cell>
          <cell r="O486">
            <v>0</v>
          </cell>
          <cell r="P486">
            <v>0</v>
          </cell>
          <cell r="Q486">
            <v>0</v>
          </cell>
          <cell r="R486">
            <v>0</v>
          </cell>
          <cell r="S486">
            <v>0</v>
          </cell>
          <cell r="T486">
            <v>0</v>
          </cell>
          <cell r="U486">
            <v>396.13604459538078</v>
          </cell>
          <cell r="V486">
            <v>244.86964818862137</v>
          </cell>
          <cell r="W486">
            <v>323.44800000000009</v>
          </cell>
          <cell r="X486">
            <v>339.62040000000002</v>
          </cell>
          <cell r="Y486">
            <v>313.16590721599812</v>
          </cell>
        </row>
        <row r="487">
          <cell r="J487">
            <v>0</v>
          </cell>
          <cell r="K487">
            <v>0</v>
          </cell>
          <cell r="L487">
            <v>0</v>
          </cell>
          <cell r="M487">
            <v>0</v>
          </cell>
          <cell r="N487">
            <v>0</v>
          </cell>
          <cell r="O487">
            <v>0</v>
          </cell>
          <cell r="P487">
            <v>0</v>
          </cell>
          <cell r="Q487">
            <v>0</v>
          </cell>
          <cell r="R487">
            <v>0</v>
          </cell>
          <cell r="S487">
            <v>0</v>
          </cell>
          <cell r="T487">
            <v>0</v>
          </cell>
          <cell r="U487">
            <v>1192.8416516357975</v>
          </cell>
          <cell r="V487">
            <v>737.34950294446821</v>
          </cell>
          <cell r="W487">
            <v>973.96400000000006</v>
          </cell>
          <cell r="X487">
            <v>1022.6621999999999</v>
          </cell>
          <cell r="Y487">
            <v>943.00264541973468</v>
          </cell>
        </row>
        <row r="488">
          <cell r="J488">
            <v>0</v>
          </cell>
          <cell r="K488">
            <v>0</v>
          </cell>
          <cell r="L488">
            <v>0</v>
          </cell>
          <cell r="M488">
            <v>0</v>
          </cell>
          <cell r="N488">
            <v>0</v>
          </cell>
          <cell r="O488">
            <v>0</v>
          </cell>
          <cell r="P488">
            <v>0</v>
          </cell>
          <cell r="Q488">
            <v>0</v>
          </cell>
          <cell r="R488">
            <v>0</v>
          </cell>
          <cell r="S488">
            <v>0</v>
          </cell>
          <cell r="T488">
            <v>0</v>
          </cell>
          <cell r="U488">
            <v>998.46006268823476</v>
          </cell>
          <cell r="V488">
            <v>617.19343043015738</v>
          </cell>
          <cell r="W488">
            <v>815.25000000000011</v>
          </cell>
          <cell r="X488">
            <v>856.01250000000005</v>
          </cell>
          <cell r="Y488">
            <v>789.33400688160827</v>
          </cell>
        </row>
        <row r="489">
          <cell r="J489">
            <v>0</v>
          </cell>
          <cell r="K489">
            <v>0</v>
          </cell>
          <cell r="L489">
            <v>0</v>
          </cell>
          <cell r="M489">
            <v>0</v>
          </cell>
          <cell r="N489">
            <v>0</v>
          </cell>
          <cell r="O489">
            <v>0</v>
          </cell>
          <cell r="P489">
            <v>0</v>
          </cell>
          <cell r="Q489">
            <v>0</v>
          </cell>
          <cell r="R489">
            <v>0</v>
          </cell>
          <cell r="S489">
            <v>0</v>
          </cell>
          <cell r="T489">
            <v>0</v>
          </cell>
          <cell r="U489">
            <v>1010.7685860001228</v>
          </cell>
          <cell r="V489">
            <v>624.80188670224948</v>
          </cell>
          <cell r="W489">
            <v>825.30000000000007</v>
          </cell>
          <cell r="X489">
            <v>866.56500000000005</v>
          </cell>
          <cell r="Y489">
            <v>799.06452729762816</v>
          </cell>
        </row>
        <row r="490">
          <cell r="J490">
            <v>0</v>
          </cell>
          <cell r="K490">
            <v>0</v>
          </cell>
          <cell r="L490">
            <v>0</v>
          </cell>
          <cell r="M490">
            <v>0</v>
          </cell>
          <cell r="N490">
            <v>0</v>
          </cell>
          <cell r="O490">
            <v>0</v>
          </cell>
          <cell r="P490">
            <v>0</v>
          </cell>
          <cell r="Q490">
            <v>0</v>
          </cell>
          <cell r="R490">
            <v>0</v>
          </cell>
          <cell r="S490">
            <v>0</v>
          </cell>
          <cell r="T490">
            <v>0</v>
          </cell>
          <cell r="U490">
            <v>2480.2078633921442</v>
          </cell>
          <cell r="V490">
            <v>1533.1289218173015</v>
          </cell>
          <cell r="W490">
            <v>2025.1079999999999</v>
          </cell>
          <cell r="X490">
            <v>2126.3633999999997</v>
          </cell>
          <cell r="Y490">
            <v>1960.7318147905551</v>
          </cell>
        </row>
        <row r="491">
          <cell r="J491">
            <v>0</v>
          </cell>
          <cell r="K491">
            <v>0</v>
          </cell>
          <cell r="L491">
            <v>0</v>
          </cell>
          <cell r="M491">
            <v>0</v>
          </cell>
          <cell r="N491">
            <v>0</v>
          </cell>
          <cell r="O491">
            <v>0</v>
          </cell>
          <cell r="P491">
            <v>0</v>
          </cell>
          <cell r="Q491">
            <v>0</v>
          </cell>
          <cell r="R491">
            <v>0</v>
          </cell>
          <cell r="S491">
            <v>0</v>
          </cell>
          <cell r="T491">
            <v>0</v>
          </cell>
          <cell r="U491">
            <v>14238.230326880828</v>
          </cell>
          <cell r="V491">
            <v>8801.2956622845086</v>
          </cell>
          <cell r="W491">
            <v>11625.619999999999</v>
          </cell>
          <cell r="X491">
            <v>12206.900999999998</v>
          </cell>
          <cell r="Y491">
            <v>11256.053010834667</v>
          </cell>
        </row>
        <row r="492">
          <cell r="J492">
            <v>0</v>
          </cell>
          <cell r="K492">
            <v>0</v>
          </cell>
          <cell r="L492">
            <v>0</v>
          </cell>
          <cell r="M492">
            <v>0</v>
          </cell>
          <cell r="N492">
            <v>0</v>
          </cell>
          <cell r="O492">
            <v>0</v>
          </cell>
          <cell r="P492">
            <v>0</v>
          </cell>
          <cell r="Q492">
            <v>0</v>
          </cell>
          <cell r="R492">
            <v>0</v>
          </cell>
          <cell r="S492">
            <v>0</v>
          </cell>
          <cell r="T492">
            <v>0</v>
          </cell>
          <cell r="U492">
            <v>4202.5683115488055</v>
          </cell>
          <cell r="V492">
            <v>2597.7979988887996</v>
          </cell>
          <cell r="W492">
            <v>3431.4279999999999</v>
          </cell>
          <cell r="X492">
            <v>3602.9993999999997</v>
          </cell>
          <cell r="Y492">
            <v>3322.3462895623957</v>
          </cell>
        </row>
        <row r="493">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row>
        <row r="494">
          <cell r="J494">
            <v>0</v>
          </cell>
          <cell r="K494">
            <v>0</v>
          </cell>
          <cell r="L494">
            <v>0</v>
          </cell>
          <cell r="M494">
            <v>0</v>
          </cell>
          <cell r="N494">
            <v>0</v>
          </cell>
          <cell r="O494">
            <v>0</v>
          </cell>
          <cell r="P494">
            <v>0</v>
          </cell>
          <cell r="Q494">
            <v>0</v>
          </cell>
          <cell r="R494">
            <v>0</v>
          </cell>
          <cell r="S494">
            <v>0</v>
          </cell>
          <cell r="T494">
            <v>0</v>
          </cell>
          <cell r="U494">
            <v>635.95751731584608</v>
          </cell>
          <cell r="V494">
            <v>393.11417290264978</v>
          </cell>
          <cell r="W494">
            <v>519.26400000000001</v>
          </cell>
          <cell r="X494">
            <v>545.22720000000004</v>
          </cell>
          <cell r="Y494">
            <v>502.75710978150443</v>
          </cell>
        </row>
        <row r="495">
          <cell r="J495">
            <v>0</v>
          </cell>
          <cell r="K495">
            <v>0</v>
          </cell>
          <cell r="L495">
            <v>0</v>
          </cell>
          <cell r="M495">
            <v>0</v>
          </cell>
          <cell r="N495">
            <v>0</v>
          </cell>
          <cell r="O495">
            <v>0</v>
          </cell>
          <cell r="P495">
            <v>0</v>
          </cell>
          <cell r="Q495">
            <v>0</v>
          </cell>
          <cell r="R495">
            <v>0</v>
          </cell>
          <cell r="S495">
            <v>0</v>
          </cell>
          <cell r="T495">
            <v>0</v>
          </cell>
          <cell r="U495">
            <v>1994.8037942040373</v>
          </cell>
          <cell r="V495">
            <v>1233.0786606177103</v>
          </cell>
          <cell r="W495">
            <v>1628.7720000000002</v>
          </cell>
          <cell r="X495">
            <v>1710.2105999999999</v>
          </cell>
          <cell r="Y495">
            <v>1576.9949451782531</v>
          </cell>
        </row>
        <row r="496">
          <cell r="J496">
            <v>0</v>
          </cell>
          <cell r="K496">
            <v>0</v>
          </cell>
          <cell r="L496">
            <v>0</v>
          </cell>
          <cell r="M496">
            <v>0</v>
          </cell>
          <cell r="N496">
            <v>0</v>
          </cell>
          <cell r="O496">
            <v>0</v>
          </cell>
          <cell r="P496">
            <v>0</v>
          </cell>
          <cell r="Q496">
            <v>0</v>
          </cell>
          <cell r="R496">
            <v>0</v>
          </cell>
          <cell r="S496">
            <v>0</v>
          </cell>
          <cell r="T496">
            <v>0</v>
          </cell>
          <cell r="U496">
            <v>5710.0770554708506</v>
          </cell>
          <cell r="V496">
            <v>3529.6574971642212</v>
          </cell>
          <cell r="W496">
            <v>4662.3200000000006</v>
          </cell>
          <cell r="X496">
            <v>4895.4359999999997</v>
          </cell>
          <cell r="Y496">
            <v>4514.1094473649309</v>
          </cell>
        </row>
        <row r="497">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row>
        <row r="498">
          <cell r="J498">
            <v>0</v>
          </cell>
          <cell r="K498">
            <v>0</v>
          </cell>
          <cell r="L498">
            <v>0</v>
          </cell>
          <cell r="M498">
            <v>0</v>
          </cell>
          <cell r="N498">
            <v>0</v>
          </cell>
          <cell r="O498">
            <v>0</v>
          </cell>
          <cell r="P498">
            <v>0</v>
          </cell>
          <cell r="Q498">
            <v>0</v>
          </cell>
          <cell r="R498">
            <v>0</v>
          </cell>
          <cell r="S498">
            <v>0</v>
          </cell>
          <cell r="T498">
            <v>0</v>
          </cell>
          <cell r="U498">
            <v>742.66077950738213</v>
          </cell>
          <cell r="V498">
            <v>459.07229670859527</v>
          </cell>
          <cell r="W498">
            <v>606.38800000000003</v>
          </cell>
          <cell r="X498">
            <v>636.70740000000001</v>
          </cell>
          <cell r="Y498">
            <v>587.11152378402301</v>
          </cell>
        </row>
        <row r="499">
          <cell r="J499">
            <v>0</v>
          </cell>
          <cell r="K499">
            <v>0</v>
          </cell>
          <cell r="L499">
            <v>0</v>
          </cell>
          <cell r="M499">
            <v>0</v>
          </cell>
          <cell r="N499">
            <v>0</v>
          </cell>
          <cell r="O499">
            <v>0</v>
          </cell>
          <cell r="P499">
            <v>0</v>
          </cell>
          <cell r="Q499">
            <v>0</v>
          </cell>
          <cell r="R499">
            <v>0</v>
          </cell>
          <cell r="S499">
            <v>0</v>
          </cell>
          <cell r="T499">
            <v>0</v>
          </cell>
          <cell r="U499">
            <v>369.91705284802748</v>
          </cell>
          <cell r="V499">
            <v>228.6625007385768</v>
          </cell>
          <cell r="W499">
            <v>302.04000000000002</v>
          </cell>
          <cell r="X499">
            <v>317.142</v>
          </cell>
          <cell r="Y499">
            <v>292.43844641339587</v>
          </cell>
        </row>
        <row r="500">
          <cell r="J500">
            <v>0</v>
          </cell>
          <cell r="K500">
            <v>0</v>
          </cell>
          <cell r="L500">
            <v>0</v>
          </cell>
          <cell r="M500">
            <v>0</v>
          </cell>
          <cell r="N500">
            <v>0</v>
          </cell>
          <cell r="O500">
            <v>0</v>
          </cell>
          <cell r="P500">
            <v>0</v>
          </cell>
          <cell r="Q500">
            <v>0</v>
          </cell>
          <cell r="R500">
            <v>0</v>
          </cell>
          <cell r="S500">
            <v>0</v>
          </cell>
          <cell r="T500">
            <v>0</v>
          </cell>
          <cell r="U500">
            <v>758.91047973644993</v>
          </cell>
          <cell r="V500">
            <v>469.11697310840799</v>
          </cell>
          <cell r="W500">
            <v>619.65600000000006</v>
          </cell>
          <cell r="X500">
            <v>650.63879999999995</v>
          </cell>
          <cell r="Y500">
            <v>599.95774715514244</v>
          </cell>
        </row>
        <row r="501">
          <cell r="J501">
            <v>0</v>
          </cell>
          <cell r="K501">
            <v>0</v>
          </cell>
          <cell r="L501">
            <v>0</v>
          </cell>
          <cell r="M501">
            <v>0</v>
          </cell>
          <cell r="N501">
            <v>0</v>
          </cell>
          <cell r="O501">
            <v>0</v>
          </cell>
          <cell r="P501">
            <v>0</v>
          </cell>
          <cell r="Q501">
            <v>0</v>
          </cell>
          <cell r="R501">
            <v>0</v>
          </cell>
          <cell r="S501">
            <v>0</v>
          </cell>
          <cell r="T501">
            <v>0</v>
          </cell>
          <cell r="U501">
            <v>429.5270475381983</v>
          </cell>
          <cell r="V501">
            <v>265.51014090526996</v>
          </cell>
          <cell r="W501">
            <v>350.71200000000005</v>
          </cell>
          <cell r="X501">
            <v>368.24759999999998</v>
          </cell>
          <cell r="Y501">
            <v>339.56321155653188</v>
          </cell>
        </row>
        <row r="502">
          <cell r="J502">
            <v>0</v>
          </cell>
          <cell r="K502">
            <v>0</v>
          </cell>
          <cell r="L502">
            <v>0</v>
          </cell>
          <cell r="M502">
            <v>0</v>
          </cell>
          <cell r="N502">
            <v>0</v>
          </cell>
          <cell r="O502">
            <v>0</v>
          </cell>
          <cell r="P502">
            <v>0</v>
          </cell>
          <cell r="Q502">
            <v>0</v>
          </cell>
          <cell r="R502">
            <v>0</v>
          </cell>
          <cell r="S502">
            <v>0</v>
          </cell>
          <cell r="T502">
            <v>0</v>
          </cell>
          <cell r="U502">
            <v>9200.2402850144517</v>
          </cell>
          <cell r="V502">
            <v>5687.0856176275856</v>
          </cell>
          <cell r="W502">
            <v>7512.0640000000012</v>
          </cell>
          <cell r="X502">
            <v>7887.6671999999999</v>
          </cell>
          <cell r="Y502">
            <v>7273.2628973579667</v>
          </cell>
        </row>
        <row r="503">
          <cell r="J503">
            <v>0</v>
          </cell>
          <cell r="K503">
            <v>0</v>
          </cell>
          <cell r="L503">
            <v>0</v>
          </cell>
          <cell r="M503">
            <v>0</v>
          </cell>
          <cell r="N503">
            <v>0</v>
          </cell>
          <cell r="O503">
            <v>0</v>
          </cell>
          <cell r="P503">
            <v>0</v>
          </cell>
          <cell r="Q503">
            <v>0</v>
          </cell>
          <cell r="R503">
            <v>0</v>
          </cell>
          <cell r="S503">
            <v>0</v>
          </cell>
          <cell r="T503">
            <v>0</v>
          </cell>
          <cell r="U503">
            <v>1929.0456615013613</v>
          </cell>
          <cell r="V503">
            <v>1192.4305776165988</v>
          </cell>
          <cell r="W503">
            <v>1575.08</v>
          </cell>
          <cell r="X503">
            <v>1653.8340000000001</v>
          </cell>
          <cell r="Y503">
            <v>1525.0097608820406</v>
          </cell>
        </row>
        <row r="504">
          <cell r="J504">
            <v>0</v>
          </cell>
          <cell r="K504">
            <v>0</v>
          </cell>
          <cell r="L504">
            <v>0</v>
          </cell>
          <cell r="M504">
            <v>0</v>
          </cell>
          <cell r="N504">
            <v>0</v>
          </cell>
          <cell r="O504">
            <v>0</v>
          </cell>
          <cell r="P504">
            <v>0</v>
          </cell>
          <cell r="Q504">
            <v>0</v>
          </cell>
          <cell r="R504">
            <v>0</v>
          </cell>
          <cell r="S504">
            <v>0</v>
          </cell>
          <cell r="T504">
            <v>0</v>
          </cell>
          <cell r="U504">
            <v>3668.9442244666038</v>
          </cell>
          <cell r="V504">
            <v>2267.9407585504214</v>
          </cell>
          <cell r="W504">
            <v>2995.72</v>
          </cell>
          <cell r="X504">
            <v>3145.5059999999999</v>
          </cell>
          <cell r="Y504">
            <v>2900.4890169829764</v>
          </cell>
        </row>
        <row r="505">
          <cell r="J505">
            <v>0</v>
          </cell>
          <cell r="K505">
            <v>0</v>
          </cell>
          <cell r="L505">
            <v>0</v>
          </cell>
          <cell r="M505">
            <v>0</v>
          </cell>
          <cell r="N505">
            <v>0</v>
          </cell>
          <cell r="O505">
            <v>0</v>
          </cell>
          <cell r="P505">
            <v>0</v>
          </cell>
          <cell r="Q505">
            <v>0</v>
          </cell>
          <cell r="R505">
            <v>0</v>
          </cell>
          <cell r="S505">
            <v>0</v>
          </cell>
          <cell r="T505">
            <v>0</v>
          </cell>
          <cell r="U505">
            <v>249.37435648491581</v>
          </cell>
          <cell r="V505">
            <v>154.14959525356261</v>
          </cell>
          <cell r="W505">
            <v>203.61600000000001</v>
          </cell>
          <cell r="X505">
            <v>213.79679999999999</v>
          </cell>
          <cell r="Y505">
            <v>197.14324826152171</v>
          </cell>
        </row>
        <row r="506">
          <cell r="J506">
            <v>0</v>
          </cell>
          <cell r="K506">
            <v>0</v>
          </cell>
          <cell r="L506">
            <v>0</v>
          </cell>
          <cell r="M506">
            <v>0</v>
          </cell>
          <cell r="N506">
            <v>0</v>
          </cell>
          <cell r="O506">
            <v>0</v>
          </cell>
          <cell r="P506">
            <v>0</v>
          </cell>
          <cell r="Q506">
            <v>0</v>
          </cell>
          <cell r="R506">
            <v>0</v>
          </cell>
          <cell r="S506">
            <v>0</v>
          </cell>
          <cell r="T506">
            <v>0</v>
          </cell>
          <cell r="U506">
            <v>4773.8552552366973</v>
          </cell>
          <cell r="V506">
            <v>2950.9363583594545</v>
          </cell>
          <cell r="W506">
            <v>3897.8880000000004</v>
          </cell>
          <cell r="X506">
            <v>4092.7823999999996</v>
          </cell>
          <cell r="Y506">
            <v>3773.9779864038496</v>
          </cell>
        </row>
        <row r="507">
          <cell r="J507">
            <v>0</v>
          </cell>
          <cell r="K507">
            <v>0</v>
          </cell>
          <cell r="L507">
            <v>0</v>
          </cell>
          <cell r="M507">
            <v>0</v>
          </cell>
          <cell r="N507">
            <v>0</v>
          </cell>
          <cell r="O507">
            <v>0</v>
          </cell>
          <cell r="P507">
            <v>0</v>
          </cell>
          <cell r="Q507">
            <v>0</v>
          </cell>
          <cell r="R507">
            <v>0</v>
          </cell>
          <cell r="S507">
            <v>0</v>
          </cell>
          <cell r="T507">
            <v>0</v>
          </cell>
          <cell r="U507">
            <v>70.167155978576318</v>
          </cell>
          <cell r="V507">
            <v>43.373500173204015</v>
          </cell>
          <cell r="W507">
            <v>57.292000000000002</v>
          </cell>
          <cell r="X507">
            <v>60.15659999999999</v>
          </cell>
          <cell r="Y507">
            <v>55.470743848219691</v>
          </cell>
        </row>
        <row r="508">
          <cell r="J508">
            <v>0</v>
          </cell>
          <cell r="K508">
            <v>0</v>
          </cell>
          <cell r="L508">
            <v>0</v>
          </cell>
          <cell r="M508">
            <v>0</v>
          </cell>
          <cell r="N508">
            <v>0</v>
          </cell>
          <cell r="O508">
            <v>0</v>
          </cell>
          <cell r="P508">
            <v>0</v>
          </cell>
          <cell r="Q508">
            <v>0</v>
          </cell>
          <cell r="R508">
            <v>0</v>
          </cell>
          <cell r="S508">
            <v>0</v>
          </cell>
          <cell r="T508">
            <v>0</v>
          </cell>
          <cell r="U508">
            <v>998.46006268823476</v>
          </cell>
          <cell r="V508">
            <v>617.19343043015738</v>
          </cell>
          <cell r="W508">
            <v>815.25000000000011</v>
          </cell>
          <cell r="X508">
            <v>856.01250000000005</v>
          </cell>
          <cell r="Y508">
            <v>789.33400688160827</v>
          </cell>
        </row>
        <row r="509">
          <cell r="J509">
            <v>0</v>
          </cell>
          <cell r="K509">
            <v>0</v>
          </cell>
          <cell r="L509">
            <v>0</v>
          </cell>
          <cell r="M509">
            <v>0</v>
          </cell>
          <cell r="N509">
            <v>0</v>
          </cell>
          <cell r="O509">
            <v>0</v>
          </cell>
          <cell r="P509">
            <v>0</v>
          </cell>
          <cell r="Q509">
            <v>0</v>
          </cell>
          <cell r="R509">
            <v>0</v>
          </cell>
          <cell r="S509">
            <v>0</v>
          </cell>
          <cell r="T509">
            <v>0</v>
          </cell>
          <cell r="U509">
            <v>1446.8160890719025</v>
          </cell>
          <cell r="V509">
            <v>894.34261678091434</v>
          </cell>
          <cell r="W509">
            <v>1181.336</v>
          </cell>
          <cell r="X509">
            <v>1240.4028000000001</v>
          </cell>
          <cell r="Y509">
            <v>1143.7824941471838</v>
          </cell>
        </row>
        <row r="510">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row>
        <row r="511">
          <cell r="J511">
            <v>0</v>
          </cell>
          <cell r="K511">
            <v>0</v>
          </cell>
          <cell r="L511">
            <v>0</v>
          </cell>
          <cell r="M511">
            <v>0</v>
          </cell>
          <cell r="N511">
            <v>0</v>
          </cell>
          <cell r="O511">
            <v>0</v>
          </cell>
          <cell r="P511">
            <v>0</v>
          </cell>
          <cell r="Q511">
            <v>0</v>
          </cell>
          <cell r="R511">
            <v>0</v>
          </cell>
          <cell r="S511">
            <v>0</v>
          </cell>
          <cell r="T511">
            <v>0</v>
          </cell>
          <cell r="U511">
            <v>2814.2060732858381</v>
          </cell>
          <cell r="V511">
            <v>1739.5883573272299</v>
          </cell>
          <cell r="W511">
            <v>2297.8200000000002</v>
          </cell>
          <cell r="X511">
            <v>2412.7109999999998</v>
          </cell>
          <cell r="Y511">
            <v>2224.7745693869329</v>
          </cell>
        </row>
        <row r="512">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row>
        <row r="513">
          <cell r="J513">
            <v>0</v>
          </cell>
          <cell r="K513">
            <v>0</v>
          </cell>
          <cell r="L513">
            <v>0</v>
          </cell>
          <cell r="M513">
            <v>0</v>
          </cell>
          <cell r="N513">
            <v>0</v>
          </cell>
          <cell r="O513">
            <v>0</v>
          </cell>
          <cell r="P513">
            <v>0</v>
          </cell>
          <cell r="Q513">
            <v>0</v>
          </cell>
          <cell r="R513">
            <v>0</v>
          </cell>
          <cell r="S513">
            <v>0</v>
          </cell>
          <cell r="T513">
            <v>0</v>
          </cell>
          <cell r="U513">
            <v>476.96813798688459</v>
          </cell>
          <cell r="V513">
            <v>294.83562967698737</v>
          </cell>
          <cell r="W513">
            <v>389.44800000000009</v>
          </cell>
          <cell r="X513">
            <v>408.92040000000003</v>
          </cell>
          <cell r="Y513">
            <v>377.06783233612833</v>
          </cell>
        </row>
        <row r="514">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row>
        <row r="515">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row>
        <row r="516">
          <cell r="J516">
            <v>0</v>
          </cell>
          <cell r="K516">
            <v>0</v>
          </cell>
          <cell r="L516">
            <v>0</v>
          </cell>
          <cell r="M516">
            <v>0</v>
          </cell>
          <cell r="N516">
            <v>0</v>
          </cell>
          <cell r="O516">
            <v>0</v>
          </cell>
          <cell r="P516">
            <v>0</v>
          </cell>
          <cell r="Q516">
            <v>0</v>
          </cell>
          <cell r="R516">
            <v>0</v>
          </cell>
          <cell r="S516">
            <v>0</v>
          </cell>
          <cell r="T516">
            <v>0</v>
          </cell>
          <cell r="U516">
            <v>742.66077950738213</v>
          </cell>
          <cell r="V516">
            <v>459.07229670859527</v>
          </cell>
          <cell r="W516">
            <v>606.38800000000003</v>
          </cell>
          <cell r="X516">
            <v>636.70740000000001</v>
          </cell>
          <cell r="Y516">
            <v>587.11152378402301</v>
          </cell>
        </row>
        <row r="517">
          <cell r="J517">
            <v>0</v>
          </cell>
          <cell r="K517">
            <v>0</v>
          </cell>
          <cell r="L517">
            <v>0</v>
          </cell>
          <cell r="M517">
            <v>0</v>
          </cell>
          <cell r="N517">
            <v>0</v>
          </cell>
          <cell r="O517">
            <v>0</v>
          </cell>
          <cell r="P517">
            <v>0</v>
          </cell>
          <cell r="Q517">
            <v>0</v>
          </cell>
          <cell r="R517">
            <v>0</v>
          </cell>
          <cell r="S517">
            <v>0</v>
          </cell>
          <cell r="T517">
            <v>0</v>
          </cell>
          <cell r="U517">
            <v>257.04605698498216</v>
          </cell>
          <cell r="V517">
            <v>158.8918211330039</v>
          </cell>
          <cell r="W517">
            <v>209.88000000000002</v>
          </cell>
          <cell r="X517">
            <v>220.374</v>
          </cell>
          <cell r="Y517">
            <v>203.20812188201407</v>
          </cell>
        </row>
        <row r="518">
          <cell r="J518">
            <v>0</v>
          </cell>
          <cell r="K518">
            <v>0</v>
          </cell>
          <cell r="L518">
            <v>0</v>
          </cell>
          <cell r="M518">
            <v>0</v>
          </cell>
          <cell r="N518">
            <v>0</v>
          </cell>
          <cell r="O518">
            <v>0</v>
          </cell>
          <cell r="P518">
            <v>0</v>
          </cell>
          <cell r="Q518">
            <v>0</v>
          </cell>
          <cell r="R518">
            <v>0</v>
          </cell>
          <cell r="S518">
            <v>0</v>
          </cell>
          <cell r="T518">
            <v>0</v>
          </cell>
          <cell r="U518">
            <v>143.17568251273278</v>
          </cell>
          <cell r="V518">
            <v>88.503380301756664</v>
          </cell>
          <cell r="W518">
            <v>116.904</v>
          </cell>
          <cell r="X518">
            <v>122.74919999999999</v>
          </cell>
          <cell r="Y518">
            <v>113.18773718551063</v>
          </cell>
        </row>
        <row r="519">
          <cell r="J519">
            <v>0</v>
          </cell>
          <cell r="K519">
            <v>0</v>
          </cell>
          <cell r="L519">
            <v>0</v>
          </cell>
          <cell r="M519">
            <v>0</v>
          </cell>
          <cell r="N519">
            <v>0</v>
          </cell>
          <cell r="O519">
            <v>0</v>
          </cell>
          <cell r="P519">
            <v>0</v>
          </cell>
          <cell r="Q519">
            <v>0</v>
          </cell>
          <cell r="R519">
            <v>0</v>
          </cell>
          <cell r="S519">
            <v>0</v>
          </cell>
          <cell r="T519">
            <v>0</v>
          </cell>
          <cell r="U519">
            <v>3039.3650941565602</v>
          </cell>
          <cell r="V519">
            <v>1878.7693558233991</v>
          </cell>
          <cell r="W519">
            <v>2481.6640000000002</v>
          </cell>
          <cell r="X519">
            <v>2605.7471999999998</v>
          </cell>
          <cell r="Y519">
            <v>2402.7743500200427</v>
          </cell>
        </row>
        <row r="520">
          <cell r="J520">
            <v>0</v>
          </cell>
          <cell r="K520">
            <v>0</v>
          </cell>
          <cell r="L520">
            <v>0</v>
          </cell>
          <cell r="M520">
            <v>0</v>
          </cell>
          <cell r="N520">
            <v>0</v>
          </cell>
          <cell r="O520">
            <v>0</v>
          </cell>
          <cell r="P520">
            <v>0</v>
          </cell>
          <cell r="Q520">
            <v>0</v>
          </cell>
          <cell r="R520">
            <v>0</v>
          </cell>
          <cell r="S520">
            <v>0</v>
          </cell>
          <cell r="T520">
            <v>0</v>
          </cell>
          <cell r="U520">
            <v>1016.564002150556</v>
          </cell>
          <cell r="V520">
            <v>628.38429616290023</v>
          </cell>
          <cell r="W520">
            <v>830.03200000000004</v>
          </cell>
          <cell r="X520">
            <v>871.53359999999998</v>
          </cell>
          <cell r="Y520">
            <v>803.64610168654417</v>
          </cell>
        </row>
        <row r="521">
          <cell r="J521">
            <v>0</v>
          </cell>
          <cell r="K521">
            <v>0</v>
          </cell>
          <cell r="L521">
            <v>0</v>
          </cell>
          <cell r="M521">
            <v>0</v>
          </cell>
          <cell r="N521">
            <v>0</v>
          </cell>
          <cell r="O521">
            <v>0</v>
          </cell>
          <cell r="P521">
            <v>0</v>
          </cell>
          <cell r="Q521">
            <v>0</v>
          </cell>
          <cell r="R521">
            <v>0</v>
          </cell>
          <cell r="S521">
            <v>0</v>
          </cell>
          <cell r="T521">
            <v>0</v>
          </cell>
          <cell r="U521">
            <v>70.167155978576318</v>
          </cell>
          <cell r="V521">
            <v>43.373500173204015</v>
          </cell>
          <cell r="W521">
            <v>57.292000000000002</v>
          </cell>
          <cell r="X521">
            <v>60.15659999999999</v>
          </cell>
          <cell r="Y521">
            <v>55.470743848219691</v>
          </cell>
        </row>
        <row r="522">
          <cell r="J522">
            <v>0</v>
          </cell>
          <cell r="K522">
            <v>0</v>
          </cell>
          <cell r="L522">
            <v>0</v>
          </cell>
          <cell r="M522">
            <v>0</v>
          </cell>
          <cell r="N522">
            <v>0</v>
          </cell>
          <cell r="O522">
            <v>0</v>
          </cell>
          <cell r="P522">
            <v>0</v>
          </cell>
          <cell r="Q522">
            <v>0</v>
          </cell>
          <cell r="R522">
            <v>0</v>
          </cell>
          <cell r="S522">
            <v>0</v>
          </cell>
          <cell r="T522">
            <v>0</v>
          </cell>
          <cell r="U522">
            <v>998.46006268823476</v>
          </cell>
          <cell r="V522">
            <v>617.19343043015738</v>
          </cell>
          <cell r="W522">
            <v>815.25000000000011</v>
          </cell>
          <cell r="X522">
            <v>856.01250000000005</v>
          </cell>
          <cell r="Y522">
            <v>789.33400688160827</v>
          </cell>
        </row>
        <row r="523">
          <cell r="J523">
            <v>0</v>
          </cell>
          <cell r="K523">
            <v>0</v>
          </cell>
          <cell r="L523">
            <v>0</v>
          </cell>
          <cell r="M523">
            <v>0</v>
          </cell>
          <cell r="N523">
            <v>0</v>
          </cell>
          <cell r="O523">
            <v>0</v>
          </cell>
          <cell r="P523">
            <v>0</v>
          </cell>
          <cell r="Q523">
            <v>0</v>
          </cell>
          <cell r="R523">
            <v>0</v>
          </cell>
          <cell r="S523">
            <v>0</v>
          </cell>
          <cell r="T523">
            <v>0</v>
          </cell>
          <cell r="U523">
            <v>2299.2468514049469</v>
          </cell>
          <cell r="V523">
            <v>1421.2687163507107</v>
          </cell>
          <cell r="W523">
            <v>1877.3520000000003</v>
          </cell>
          <cell r="X523">
            <v>1971.2195999999999</v>
          </cell>
          <cell r="Y523">
            <v>1817.6728322443439</v>
          </cell>
        </row>
        <row r="524">
          <cell r="J524">
            <v>0</v>
          </cell>
          <cell r="K524">
            <v>0</v>
          </cell>
          <cell r="L524">
            <v>0</v>
          </cell>
          <cell r="M524">
            <v>0</v>
          </cell>
          <cell r="N524">
            <v>0</v>
          </cell>
          <cell r="O524">
            <v>0</v>
          </cell>
          <cell r="P524">
            <v>0</v>
          </cell>
          <cell r="Q524">
            <v>0</v>
          </cell>
          <cell r="R524">
            <v>0</v>
          </cell>
          <cell r="S524">
            <v>0</v>
          </cell>
          <cell r="T524">
            <v>0</v>
          </cell>
          <cell r="U524">
            <v>1994.8037942040373</v>
          </cell>
          <cell r="V524">
            <v>1233.0786606177103</v>
          </cell>
          <cell r="W524">
            <v>1628.7720000000002</v>
          </cell>
          <cell r="X524">
            <v>1710.2105999999999</v>
          </cell>
          <cell r="Y524">
            <v>1576.9949451782531</v>
          </cell>
        </row>
        <row r="525">
          <cell r="J525">
            <v>0</v>
          </cell>
          <cell r="K525">
            <v>0</v>
          </cell>
          <cell r="L525">
            <v>0</v>
          </cell>
          <cell r="M525">
            <v>0</v>
          </cell>
          <cell r="N525">
            <v>0</v>
          </cell>
          <cell r="O525">
            <v>0</v>
          </cell>
          <cell r="P525">
            <v>0</v>
          </cell>
          <cell r="Q525">
            <v>0</v>
          </cell>
          <cell r="R525">
            <v>0</v>
          </cell>
          <cell r="S525">
            <v>0</v>
          </cell>
          <cell r="T525">
            <v>0</v>
          </cell>
          <cell r="U525">
            <v>11861.879456209888</v>
          </cell>
          <cell r="V525">
            <v>7332.3654560765017</v>
          </cell>
          <cell r="W525">
            <v>9685.3119999999999</v>
          </cell>
          <cell r="X525">
            <v>10169.577599999999</v>
          </cell>
          <cell r="Y525">
            <v>9377.4254877136118</v>
          </cell>
        </row>
        <row r="526">
          <cell r="J526">
            <v>0</v>
          </cell>
          <cell r="K526">
            <v>0</v>
          </cell>
          <cell r="L526">
            <v>0</v>
          </cell>
          <cell r="M526">
            <v>0</v>
          </cell>
          <cell r="N526">
            <v>0</v>
          </cell>
          <cell r="O526">
            <v>0</v>
          </cell>
          <cell r="P526">
            <v>0</v>
          </cell>
          <cell r="Q526">
            <v>0</v>
          </cell>
          <cell r="R526">
            <v>0</v>
          </cell>
          <cell r="S526">
            <v>0</v>
          </cell>
          <cell r="T526">
            <v>0</v>
          </cell>
          <cell r="U526">
            <v>148.07459726373301</v>
          </cell>
          <cell r="V526">
            <v>91.531621604081877</v>
          </cell>
          <cell r="W526">
            <v>120.90400000000002</v>
          </cell>
          <cell r="X526">
            <v>126.9492</v>
          </cell>
          <cell r="Y526">
            <v>117.06058113218519</v>
          </cell>
        </row>
        <row r="527">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row>
        <row r="528">
          <cell r="J528">
            <v>0</v>
          </cell>
          <cell r="K528">
            <v>0</v>
          </cell>
          <cell r="L528">
            <v>0</v>
          </cell>
          <cell r="M528">
            <v>0</v>
          </cell>
          <cell r="N528">
            <v>0</v>
          </cell>
          <cell r="O528">
            <v>0</v>
          </cell>
          <cell r="P528">
            <v>0</v>
          </cell>
          <cell r="Q528">
            <v>0</v>
          </cell>
          <cell r="R528">
            <v>0</v>
          </cell>
          <cell r="S528">
            <v>0</v>
          </cell>
          <cell r="T528">
            <v>0</v>
          </cell>
          <cell r="U528">
            <v>143.17568251273278</v>
          </cell>
          <cell r="V528">
            <v>88.503380301756664</v>
          </cell>
          <cell r="W528">
            <v>116.904</v>
          </cell>
          <cell r="X528">
            <v>122.74919999999999</v>
          </cell>
          <cell r="Y528">
            <v>113.18773718551063</v>
          </cell>
        </row>
        <row r="529">
          <cell r="J529">
            <v>0</v>
          </cell>
          <cell r="K529">
            <v>0</v>
          </cell>
          <cell r="L529">
            <v>0</v>
          </cell>
          <cell r="M529">
            <v>0</v>
          </cell>
          <cell r="N529">
            <v>0</v>
          </cell>
          <cell r="O529">
            <v>0</v>
          </cell>
          <cell r="P529">
            <v>0</v>
          </cell>
          <cell r="Q529">
            <v>0</v>
          </cell>
          <cell r="R529">
            <v>0</v>
          </cell>
          <cell r="S529">
            <v>0</v>
          </cell>
          <cell r="T529">
            <v>0</v>
          </cell>
          <cell r="U529">
            <v>3039.3650941565602</v>
          </cell>
          <cell r="V529">
            <v>1878.7693558233991</v>
          </cell>
          <cell r="W529">
            <v>2481.6640000000002</v>
          </cell>
          <cell r="X529">
            <v>2605.7471999999998</v>
          </cell>
          <cell r="Y529">
            <v>2402.7743500200427</v>
          </cell>
        </row>
        <row r="530">
          <cell r="J530">
            <v>0</v>
          </cell>
          <cell r="K530">
            <v>0</v>
          </cell>
          <cell r="L530">
            <v>0</v>
          </cell>
          <cell r="M530">
            <v>0</v>
          </cell>
          <cell r="N530">
            <v>0</v>
          </cell>
          <cell r="O530">
            <v>0</v>
          </cell>
          <cell r="P530">
            <v>0</v>
          </cell>
          <cell r="Q530">
            <v>0</v>
          </cell>
          <cell r="R530">
            <v>0</v>
          </cell>
          <cell r="S530">
            <v>0</v>
          </cell>
          <cell r="T530">
            <v>0</v>
          </cell>
          <cell r="U530">
            <v>385.80913230027221</v>
          </cell>
          <cell r="V530">
            <v>238.48611552331977</v>
          </cell>
          <cell r="W530">
            <v>315.01600000000002</v>
          </cell>
          <cell r="X530">
            <v>330.76679999999999</v>
          </cell>
          <cell r="Y530">
            <v>305.00195217640811</v>
          </cell>
        </row>
        <row r="531">
          <cell r="J531">
            <v>0</v>
          </cell>
          <cell r="K531">
            <v>0</v>
          </cell>
          <cell r="L531">
            <v>0</v>
          </cell>
          <cell r="M531">
            <v>0</v>
          </cell>
          <cell r="N531">
            <v>0</v>
          </cell>
          <cell r="O531">
            <v>0</v>
          </cell>
          <cell r="P531">
            <v>0</v>
          </cell>
          <cell r="Q531">
            <v>0</v>
          </cell>
          <cell r="R531">
            <v>0</v>
          </cell>
          <cell r="S531">
            <v>0</v>
          </cell>
          <cell r="T531">
            <v>0</v>
          </cell>
          <cell r="U531">
            <v>70.167155978576318</v>
          </cell>
          <cell r="V531">
            <v>43.373500173204015</v>
          </cell>
          <cell r="W531">
            <v>57.292000000000002</v>
          </cell>
          <cell r="X531">
            <v>60.15659999999999</v>
          </cell>
          <cell r="Y531">
            <v>55.470743848219691</v>
          </cell>
        </row>
        <row r="532">
          <cell r="J532">
            <v>0</v>
          </cell>
          <cell r="K532">
            <v>0</v>
          </cell>
          <cell r="L532">
            <v>0</v>
          </cell>
          <cell r="M532">
            <v>0</v>
          </cell>
          <cell r="N532">
            <v>0</v>
          </cell>
          <cell r="O532">
            <v>0</v>
          </cell>
          <cell r="P532">
            <v>0</v>
          </cell>
          <cell r="Q532">
            <v>0</v>
          </cell>
          <cell r="R532">
            <v>0</v>
          </cell>
          <cell r="S532">
            <v>0</v>
          </cell>
          <cell r="T532">
            <v>0</v>
          </cell>
          <cell r="U532">
            <v>3554.2704279751902</v>
          </cell>
          <cell r="V532">
            <v>2197.055686145593</v>
          </cell>
          <cell r="W532">
            <v>2902.0880000000002</v>
          </cell>
          <cell r="X532">
            <v>3047.1923999999999</v>
          </cell>
          <cell r="Y532">
            <v>2809.8334858792186</v>
          </cell>
        </row>
        <row r="533">
          <cell r="J533">
            <v>0</v>
          </cell>
          <cell r="K533">
            <v>0</v>
          </cell>
          <cell r="L533">
            <v>0</v>
          </cell>
          <cell r="M533">
            <v>0</v>
          </cell>
          <cell r="N533">
            <v>0</v>
          </cell>
          <cell r="O533">
            <v>0</v>
          </cell>
          <cell r="P533">
            <v>0</v>
          </cell>
          <cell r="Q533">
            <v>0</v>
          </cell>
          <cell r="R533">
            <v>0</v>
          </cell>
          <cell r="S533">
            <v>0</v>
          </cell>
          <cell r="T533">
            <v>0</v>
          </cell>
          <cell r="U533">
            <v>2662.28582794257</v>
          </cell>
          <cell r="V533">
            <v>1645.6795663008229</v>
          </cell>
          <cell r="W533">
            <v>2173.7760000000003</v>
          </cell>
          <cell r="X533">
            <v>2282.4648000000002</v>
          </cell>
          <cell r="Y533">
            <v>2104.6738057566085</v>
          </cell>
        </row>
        <row r="534">
          <cell r="J534">
            <v>0</v>
          </cell>
          <cell r="K534">
            <v>0</v>
          </cell>
          <cell r="L534">
            <v>0</v>
          </cell>
          <cell r="M534">
            <v>0</v>
          </cell>
          <cell r="N534">
            <v>0</v>
          </cell>
          <cell r="O534">
            <v>0</v>
          </cell>
          <cell r="P534">
            <v>0</v>
          </cell>
          <cell r="Q534">
            <v>0</v>
          </cell>
          <cell r="R534">
            <v>0</v>
          </cell>
          <cell r="S534">
            <v>0</v>
          </cell>
          <cell r="T534">
            <v>0</v>
          </cell>
          <cell r="U534">
            <v>3989.6075884080747</v>
          </cell>
          <cell r="V534">
            <v>2466.1573212354206</v>
          </cell>
          <cell r="W534">
            <v>3257.5440000000003</v>
          </cell>
          <cell r="X534">
            <v>3420.4211999999998</v>
          </cell>
          <cell r="Y534">
            <v>3153.9898903565063</v>
          </cell>
        </row>
        <row r="535">
          <cell r="J535">
            <v>0</v>
          </cell>
          <cell r="K535">
            <v>0</v>
          </cell>
          <cell r="L535">
            <v>0</v>
          </cell>
          <cell r="M535">
            <v>0</v>
          </cell>
          <cell r="N535">
            <v>0</v>
          </cell>
          <cell r="O535">
            <v>0</v>
          </cell>
          <cell r="P535">
            <v>0</v>
          </cell>
          <cell r="Q535">
            <v>0</v>
          </cell>
          <cell r="R535">
            <v>0</v>
          </cell>
          <cell r="S535">
            <v>0</v>
          </cell>
          <cell r="T535">
            <v>0</v>
          </cell>
          <cell r="U535">
            <v>10819.076866652975</v>
          </cell>
          <cell r="V535">
            <v>6687.7618994983477</v>
          </cell>
          <cell r="W535">
            <v>8833.8559999999998</v>
          </cell>
          <cell r="X535">
            <v>9275.5487999999987</v>
          </cell>
          <cell r="Y535">
            <v>8553.0364338486797</v>
          </cell>
        </row>
        <row r="536">
          <cell r="J536">
            <v>0</v>
          </cell>
          <cell r="K536">
            <v>0</v>
          </cell>
          <cell r="L536">
            <v>0</v>
          </cell>
          <cell r="M536">
            <v>0</v>
          </cell>
          <cell r="N536">
            <v>0</v>
          </cell>
          <cell r="O536">
            <v>0</v>
          </cell>
          <cell r="P536">
            <v>0</v>
          </cell>
          <cell r="Q536">
            <v>0</v>
          </cell>
          <cell r="R536">
            <v>0</v>
          </cell>
          <cell r="S536">
            <v>0</v>
          </cell>
          <cell r="T536">
            <v>0</v>
          </cell>
          <cell r="U536">
            <v>653.270282045881</v>
          </cell>
          <cell r="V536">
            <v>403.81597766506707</v>
          </cell>
          <cell r="W536">
            <v>533.40000000000009</v>
          </cell>
          <cell r="X536">
            <v>560.07000000000005</v>
          </cell>
          <cell r="Y536">
            <v>516.44374028905236</v>
          </cell>
        </row>
        <row r="537">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row>
        <row r="538">
          <cell r="J538">
            <v>0</v>
          </cell>
          <cell r="K538">
            <v>0</v>
          </cell>
          <cell r="L538">
            <v>0</v>
          </cell>
          <cell r="M538">
            <v>0</v>
          </cell>
          <cell r="N538">
            <v>0</v>
          </cell>
          <cell r="O538">
            <v>0</v>
          </cell>
          <cell r="P538">
            <v>0</v>
          </cell>
          <cell r="Q538">
            <v>0</v>
          </cell>
          <cell r="R538">
            <v>0</v>
          </cell>
          <cell r="S538">
            <v>0</v>
          </cell>
          <cell r="T538">
            <v>0</v>
          </cell>
          <cell r="U538">
            <v>1113.9911692610733</v>
          </cell>
          <cell r="V538">
            <v>688.60844506289288</v>
          </cell>
          <cell r="W538">
            <v>909.58200000000011</v>
          </cell>
          <cell r="X538">
            <v>955.06110000000001</v>
          </cell>
          <cell r="Y538">
            <v>880.66728567603445</v>
          </cell>
        </row>
        <row r="539">
          <cell r="J539">
            <v>0</v>
          </cell>
          <cell r="K539">
            <v>0</v>
          </cell>
          <cell r="L539">
            <v>0</v>
          </cell>
          <cell r="M539">
            <v>0</v>
          </cell>
          <cell r="N539">
            <v>0</v>
          </cell>
          <cell r="O539">
            <v>0</v>
          </cell>
          <cell r="P539">
            <v>0</v>
          </cell>
          <cell r="Q539">
            <v>0</v>
          </cell>
          <cell r="R539">
            <v>0</v>
          </cell>
          <cell r="S539">
            <v>0</v>
          </cell>
          <cell r="T539">
            <v>0</v>
          </cell>
          <cell r="U539">
            <v>2440.2670114272391</v>
          </cell>
          <cell r="V539">
            <v>1508.439670479444</v>
          </cell>
          <cell r="W539">
            <v>1992.4960000000001</v>
          </cell>
          <cell r="X539">
            <v>2092.1208000000001</v>
          </cell>
          <cell r="Y539">
            <v>1929.1565180933176</v>
          </cell>
        </row>
        <row r="540">
          <cell r="J540">
            <v>0</v>
          </cell>
          <cell r="K540">
            <v>0</v>
          </cell>
          <cell r="L540">
            <v>0</v>
          </cell>
          <cell r="M540">
            <v>0</v>
          </cell>
          <cell r="N540">
            <v>0</v>
          </cell>
          <cell r="O540">
            <v>0</v>
          </cell>
          <cell r="P540">
            <v>0</v>
          </cell>
          <cell r="Q540">
            <v>0</v>
          </cell>
          <cell r="R540">
            <v>0</v>
          </cell>
          <cell r="S540">
            <v>0</v>
          </cell>
          <cell r="T540">
            <v>0</v>
          </cell>
          <cell r="U540">
            <v>2222.9095122974854</v>
          </cell>
          <cell r="V540">
            <v>1374.0811462572281</v>
          </cell>
          <cell r="W540">
            <v>1815.0220000000002</v>
          </cell>
          <cell r="X540">
            <v>1905.7731000000001</v>
          </cell>
          <cell r="Y540">
            <v>1757.3242414452875</v>
          </cell>
        </row>
        <row r="541">
          <cell r="J541">
            <v>0</v>
          </cell>
          <cell r="K541">
            <v>0</v>
          </cell>
          <cell r="L541">
            <v>0</v>
          </cell>
          <cell r="M541">
            <v>0</v>
          </cell>
          <cell r="N541">
            <v>0</v>
          </cell>
          <cell r="O541">
            <v>0</v>
          </cell>
          <cell r="P541">
            <v>0</v>
          </cell>
          <cell r="Q541">
            <v>0</v>
          </cell>
          <cell r="R541">
            <v>0</v>
          </cell>
          <cell r="S541">
            <v>0</v>
          </cell>
          <cell r="T541">
            <v>0</v>
          </cell>
          <cell r="U541">
            <v>70.167155978576318</v>
          </cell>
          <cell r="V541">
            <v>43.373500173204015</v>
          </cell>
          <cell r="W541">
            <v>57.292000000000002</v>
          </cell>
          <cell r="X541">
            <v>60.15659999999999</v>
          </cell>
          <cell r="Y541">
            <v>55.470743848219691</v>
          </cell>
        </row>
        <row r="542">
          <cell r="J542">
            <v>0</v>
          </cell>
          <cell r="K542">
            <v>0</v>
          </cell>
          <cell r="L542">
            <v>0</v>
          </cell>
          <cell r="M542">
            <v>0</v>
          </cell>
          <cell r="N542">
            <v>0</v>
          </cell>
          <cell r="O542">
            <v>0</v>
          </cell>
          <cell r="P542">
            <v>0</v>
          </cell>
          <cell r="Q542">
            <v>0</v>
          </cell>
          <cell r="R542">
            <v>0</v>
          </cell>
          <cell r="S542">
            <v>0</v>
          </cell>
          <cell r="T542">
            <v>0</v>
          </cell>
          <cell r="U542">
            <v>143.17568251273278</v>
          </cell>
          <cell r="V542">
            <v>88.503380301756664</v>
          </cell>
          <cell r="W542">
            <v>116.904</v>
          </cell>
          <cell r="X542">
            <v>122.74919999999999</v>
          </cell>
          <cell r="Y542">
            <v>113.18773718551063</v>
          </cell>
        </row>
        <row r="543">
          <cell r="J543">
            <v>0</v>
          </cell>
          <cell r="K543">
            <v>0</v>
          </cell>
          <cell r="L543">
            <v>0</v>
          </cell>
          <cell r="M543">
            <v>0</v>
          </cell>
          <cell r="N543">
            <v>0</v>
          </cell>
          <cell r="O543">
            <v>0</v>
          </cell>
          <cell r="P543">
            <v>0</v>
          </cell>
          <cell r="Q543">
            <v>0</v>
          </cell>
          <cell r="R543">
            <v>0</v>
          </cell>
          <cell r="S543">
            <v>0</v>
          </cell>
          <cell r="T543">
            <v>0</v>
          </cell>
          <cell r="U543">
            <v>492.87001526863133</v>
          </cell>
          <cell r="V543">
            <v>304.665300944335</v>
          </cell>
          <cell r="W543">
            <v>402.43200000000007</v>
          </cell>
          <cell r="X543">
            <v>422.55360000000002</v>
          </cell>
          <cell r="Y543">
            <v>389.63908378703394</v>
          </cell>
        </row>
        <row r="544">
          <cell r="J544">
            <v>0</v>
          </cell>
          <cell r="K544">
            <v>0</v>
          </cell>
          <cell r="L544">
            <v>0</v>
          </cell>
          <cell r="M544">
            <v>0</v>
          </cell>
          <cell r="N544">
            <v>0</v>
          </cell>
          <cell r="O544">
            <v>0</v>
          </cell>
          <cell r="P544">
            <v>0</v>
          </cell>
          <cell r="Q544">
            <v>0</v>
          </cell>
          <cell r="R544">
            <v>0</v>
          </cell>
          <cell r="S544">
            <v>0</v>
          </cell>
          <cell r="T544">
            <v>0</v>
          </cell>
          <cell r="U544">
            <v>808.33073174454023</v>
          </cell>
          <cell r="V544">
            <v>499.6658713662647</v>
          </cell>
          <cell r="W544">
            <v>660.00800000000004</v>
          </cell>
          <cell r="X544">
            <v>693.00839999999994</v>
          </cell>
          <cell r="Y544">
            <v>639.0269968891954</v>
          </cell>
        </row>
        <row r="545">
          <cell r="J545">
            <v>0</v>
          </cell>
          <cell r="K545">
            <v>0</v>
          </cell>
          <cell r="L545">
            <v>0</v>
          </cell>
          <cell r="M545">
            <v>0</v>
          </cell>
          <cell r="N545">
            <v>0</v>
          </cell>
          <cell r="O545">
            <v>0</v>
          </cell>
          <cell r="P545">
            <v>0</v>
          </cell>
          <cell r="Q545">
            <v>0</v>
          </cell>
          <cell r="R545">
            <v>0</v>
          </cell>
          <cell r="S545">
            <v>0</v>
          </cell>
          <cell r="T545">
            <v>0</v>
          </cell>
          <cell r="U545">
            <v>5999.3040834551521</v>
          </cell>
          <cell r="V545">
            <v>3708.4418354121995</v>
          </cell>
          <cell r="W545">
            <v>4898.4760000000006</v>
          </cell>
          <cell r="X545">
            <v>5143.3998000000001</v>
          </cell>
          <cell r="Y545">
            <v>4742.7582811326511</v>
          </cell>
        </row>
        <row r="546">
          <cell r="J546">
            <v>0</v>
          </cell>
          <cell r="K546">
            <v>0</v>
          </cell>
          <cell r="L546">
            <v>0</v>
          </cell>
          <cell r="M546">
            <v>0</v>
          </cell>
          <cell r="N546">
            <v>0</v>
          </cell>
          <cell r="O546">
            <v>0</v>
          </cell>
          <cell r="P546">
            <v>0</v>
          </cell>
          <cell r="Q546">
            <v>0</v>
          </cell>
          <cell r="R546">
            <v>0</v>
          </cell>
          <cell r="S546">
            <v>0</v>
          </cell>
          <cell r="T546">
            <v>0</v>
          </cell>
          <cell r="U546">
            <v>2611.3665080206733</v>
          </cell>
          <cell r="V546">
            <v>1614.2040262044543</v>
          </cell>
          <cell r="W546">
            <v>2132.1999999999998</v>
          </cell>
          <cell r="X546">
            <v>2238.81</v>
          </cell>
          <cell r="Y546">
            <v>2064.4194657748731</v>
          </cell>
        </row>
        <row r="547">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row>
        <row r="548">
          <cell r="J548">
            <v>0</v>
          </cell>
          <cell r="K548">
            <v>0</v>
          </cell>
          <cell r="L548">
            <v>0</v>
          </cell>
          <cell r="M548">
            <v>0</v>
          </cell>
          <cell r="N548">
            <v>0</v>
          </cell>
          <cell r="O548">
            <v>0</v>
          </cell>
          <cell r="P548">
            <v>0</v>
          </cell>
          <cell r="Q548">
            <v>0</v>
          </cell>
          <cell r="R548">
            <v>0</v>
          </cell>
          <cell r="S548">
            <v>0</v>
          </cell>
          <cell r="T548">
            <v>0</v>
          </cell>
          <cell r="U548">
            <v>226.04572444065269</v>
          </cell>
          <cell r="V548">
            <v>139.72911017188997</v>
          </cell>
          <cell r="W548">
            <v>184.56800000000001</v>
          </cell>
          <cell r="X548">
            <v>193.79640000000001</v>
          </cell>
          <cell r="Y548">
            <v>178.70076538745747</v>
          </cell>
        </row>
        <row r="549">
          <cell r="J549">
            <v>0</v>
          </cell>
          <cell r="K549">
            <v>0</v>
          </cell>
          <cell r="L549">
            <v>0</v>
          </cell>
          <cell r="M549">
            <v>0</v>
          </cell>
          <cell r="N549">
            <v>0</v>
          </cell>
          <cell r="O549">
            <v>0</v>
          </cell>
          <cell r="P549">
            <v>0</v>
          </cell>
          <cell r="Q549">
            <v>0</v>
          </cell>
          <cell r="R549">
            <v>0</v>
          </cell>
          <cell r="S549">
            <v>0</v>
          </cell>
          <cell r="T549">
            <v>0</v>
          </cell>
          <cell r="U549">
            <v>11939.311702764198</v>
          </cell>
          <cell r="V549">
            <v>7380.2298381010551</v>
          </cell>
          <cell r="W549">
            <v>9748.5360000000019</v>
          </cell>
          <cell r="X549">
            <v>10235.962799999999</v>
          </cell>
          <cell r="Y549">
            <v>9438.6396591347511</v>
          </cell>
        </row>
        <row r="550">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row>
        <row r="551">
          <cell r="J551">
            <v>0</v>
          </cell>
          <cell r="K551">
            <v>0</v>
          </cell>
          <cell r="L551">
            <v>0</v>
          </cell>
          <cell r="M551">
            <v>0</v>
          </cell>
          <cell r="N551">
            <v>0</v>
          </cell>
          <cell r="O551">
            <v>0</v>
          </cell>
          <cell r="P551">
            <v>0</v>
          </cell>
          <cell r="Q551">
            <v>0</v>
          </cell>
          <cell r="R551">
            <v>0</v>
          </cell>
          <cell r="S551">
            <v>0</v>
          </cell>
          <cell r="T551">
            <v>0</v>
          </cell>
          <cell r="U551">
            <v>85.682018994994053</v>
          </cell>
          <cell r="V551">
            <v>52.963940377667967</v>
          </cell>
          <cell r="W551">
            <v>69.960000000000008</v>
          </cell>
          <cell r="X551">
            <v>73.457999999999998</v>
          </cell>
          <cell r="Y551">
            <v>67.736040627338014</v>
          </cell>
        </row>
        <row r="553">
          <cell r="J553">
            <v>0</v>
          </cell>
          <cell r="K553">
            <v>0</v>
          </cell>
          <cell r="L553">
            <v>0</v>
          </cell>
          <cell r="M553">
            <v>0</v>
          </cell>
          <cell r="N553">
            <v>0</v>
          </cell>
          <cell r="O553">
            <v>0</v>
          </cell>
          <cell r="P553">
            <v>0</v>
          </cell>
          <cell r="Q553">
            <v>0</v>
          </cell>
          <cell r="R553">
            <v>0</v>
          </cell>
          <cell r="S553">
            <v>0</v>
          </cell>
          <cell r="T553">
            <v>497.76</v>
          </cell>
          <cell r="U553">
            <v>0</v>
          </cell>
          <cell r="V553">
            <v>0</v>
          </cell>
          <cell r="W553">
            <v>0</v>
          </cell>
          <cell r="X553">
            <v>0</v>
          </cell>
          <cell r="Y553">
            <v>0</v>
          </cell>
        </row>
        <row r="554">
          <cell r="J554">
            <v>0</v>
          </cell>
          <cell r="K554">
            <v>0</v>
          </cell>
          <cell r="L554">
            <v>0</v>
          </cell>
          <cell r="M554">
            <v>0</v>
          </cell>
          <cell r="N554">
            <v>0</v>
          </cell>
          <cell r="O554">
            <v>0</v>
          </cell>
          <cell r="P554">
            <v>0</v>
          </cell>
          <cell r="Q554">
            <v>0</v>
          </cell>
          <cell r="R554">
            <v>0</v>
          </cell>
          <cell r="S554">
            <v>0</v>
          </cell>
          <cell r="T554">
            <v>1131.2</v>
          </cell>
          <cell r="U554">
            <v>0</v>
          </cell>
          <cell r="V554">
            <v>0</v>
          </cell>
          <cell r="W554">
            <v>0</v>
          </cell>
          <cell r="X554">
            <v>0</v>
          </cell>
          <cell r="Y554">
            <v>0</v>
          </cell>
        </row>
        <row r="555">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33785.040000000001</v>
          </cell>
          <cell r="Y555">
            <v>0</v>
          </cell>
        </row>
        <row r="556">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3413.1</v>
          </cell>
          <cell r="Y556">
            <v>0</v>
          </cell>
        </row>
        <row r="557">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295.32</v>
          </cell>
          <cell r="Y557">
            <v>0</v>
          </cell>
        </row>
        <row r="558">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905.08</v>
          </cell>
          <cell r="Y558">
            <v>0</v>
          </cell>
        </row>
        <row r="559">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10619.91</v>
          </cell>
          <cell r="Y559">
            <v>0</v>
          </cell>
        </row>
        <row r="563">
          <cell r="J563">
            <v>0</v>
          </cell>
          <cell r="K563">
            <v>0</v>
          </cell>
          <cell r="L563">
            <v>0</v>
          </cell>
          <cell r="M563">
            <v>0</v>
          </cell>
          <cell r="N563">
            <v>0</v>
          </cell>
          <cell r="O563">
            <v>0</v>
          </cell>
          <cell r="P563">
            <v>0</v>
          </cell>
          <cell r="Q563">
            <v>0</v>
          </cell>
          <cell r="R563">
            <v>97.832452595585949</v>
          </cell>
          <cell r="S563">
            <v>416.00754740441403</v>
          </cell>
          <cell r="T563">
            <v>513.84</v>
          </cell>
          <cell r="U563">
            <v>0</v>
          </cell>
          <cell r="V563">
            <v>0</v>
          </cell>
          <cell r="W563">
            <v>0</v>
          </cell>
          <cell r="X563">
            <v>0</v>
          </cell>
          <cell r="Y563">
            <v>0</v>
          </cell>
        </row>
        <row r="564">
          <cell r="J564">
            <v>0</v>
          </cell>
          <cell r="K564">
            <v>0</v>
          </cell>
          <cell r="L564">
            <v>0</v>
          </cell>
          <cell r="M564">
            <v>0</v>
          </cell>
          <cell r="N564">
            <v>0</v>
          </cell>
          <cell r="O564">
            <v>0</v>
          </cell>
          <cell r="P564">
            <v>0</v>
          </cell>
          <cell r="Q564">
            <v>0</v>
          </cell>
          <cell r="R564">
            <v>48.916226297792974</v>
          </cell>
          <cell r="S564">
            <v>208.00377370220701</v>
          </cell>
          <cell r="T564">
            <v>256.92</v>
          </cell>
          <cell r="U564">
            <v>0</v>
          </cell>
          <cell r="V564">
            <v>0</v>
          </cell>
          <cell r="W564">
            <v>0</v>
          </cell>
          <cell r="X564">
            <v>0</v>
          </cell>
          <cell r="Y564">
            <v>0</v>
          </cell>
        </row>
        <row r="566">
          <cell r="J566">
            <v>0</v>
          </cell>
          <cell r="K566">
            <v>0</v>
          </cell>
          <cell r="L566">
            <v>0</v>
          </cell>
          <cell r="M566">
            <v>0</v>
          </cell>
          <cell r="N566">
            <v>0</v>
          </cell>
          <cell r="O566">
            <v>0</v>
          </cell>
          <cell r="P566">
            <v>0</v>
          </cell>
          <cell r="Q566">
            <v>0</v>
          </cell>
          <cell r="R566">
            <v>12.951684486198122</v>
          </cell>
          <cell r="S566">
            <v>123.09831551380186</v>
          </cell>
          <cell r="T566">
            <v>144.83454466882921</v>
          </cell>
          <cell r="U566">
            <v>204.07500000000002</v>
          </cell>
          <cell r="V566">
            <v>59.240455331170793</v>
          </cell>
          <cell r="W566">
            <v>0</v>
          </cell>
          <cell r="X566">
            <v>0</v>
          </cell>
          <cell r="Y566">
            <v>0</v>
          </cell>
        </row>
        <row r="567">
          <cell r="J567">
            <v>0</v>
          </cell>
          <cell r="K567">
            <v>0</v>
          </cell>
          <cell r="L567">
            <v>0</v>
          </cell>
          <cell r="M567">
            <v>0</v>
          </cell>
          <cell r="N567">
            <v>0</v>
          </cell>
          <cell r="O567">
            <v>0</v>
          </cell>
          <cell r="P567">
            <v>0</v>
          </cell>
          <cell r="Q567">
            <v>0</v>
          </cell>
          <cell r="R567">
            <v>35.035234715421268</v>
          </cell>
          <cell r="S567">
            <v>332.98976528457871</v>
          </cell>
          <cell r="T567">
            <v>391.78782287207542</v>
          </cell>
          <cell r="U567">
            <v>552.03750000000002</v>
          </cell>
          <cell r="V567">
            <v>160.24967712792451</v>
          </cell>
          <cell r="W567">
            <v>0</v>
          </cell>
          <cell r="X567">
            <v>0</v>
          </cell>
          <cell r="Y567">
            <v>0</v>
          </cell>
        </row>
        <row r="568">
          <cell r="J568">
            <v>0</v>
          </cell>
          <cell r="K568">
            <v>0</v>
          </cell>
          <cell r="L568">
            <v>0</v>
          </cell>
          <cell r="M568">
            <v>0</v>
          </cell>
          <cell r="N568">
            <v>0</v>
          </cell>
          <cell r="O568">
            <v>0</v>
          </cell>
          <cell r="P568">
            <v>0</v>
          </cell>
          <cell r="Q568">
            <v>0</v>
          </cell>
          <cell r="R568">
            <v>56.807963556570641</v>
          </cell>
          <cell r="S568">
            <v>539.9270364434293</v>
          </cell>
          <cell r="T568">
            <v>635.26528491697024</v>
          </cell>
          <cell r="U568">
            <v>895.10249999999996</v>
          </cell>
          <cell r="V568">
            <v>259.83721508302983</v>
          </cell>
          <cell r="W568">
            <v>0</v>
          </cell>
          <cell r="X568">
            <v>0</v>
          </cell>
          <cell r="Y568">
            <v>0</v>
          </cell>
        </row>
        <row r="569">
          <cell r="J569">
            <v>0</v>
          </cell>
          <cell r="K569">
            <v>0</v>
          </cell>
          <cell r="L569">
            <v>0</v>
          </cell>
          <cell r="M569">
            <v>0</v>
          </cell>
          <cell r="N569">
            <v>0</v>
          </cell>
          <cell r="O569">
            <v>0</v>
          </cell>
          <cell r="P569">
            <v>0</v>
          </cell>
          <cell r="Q569">
            <v>0</v>
          </cell>
          <cell r="R569">
            <v>25.899561053399932</v>
          </cell>
          <cell r="S569">
            <v>246.16043894660004</v>
          </cell>
          <cell r="T569">
            <v>289.62650659758668</v>
          </cell>
          <cell r="U569">
            <v>408.09</v>
          </cell>
          <cell r="V569">
            <v>118.46349340241328</v>
          </cell>
          <cell r="W569">
            <v>0</v>
          </cell>
          <cell r="X569">
            <v>0</v>
          </cell>
          <cell r="Y569">
            <v>0</v>
          </cell>
        </row>
        <row r="570">
          <cell r="J570">
            <v>0</v>
          </cell>
          <cell r="K570">
            <v>0</v>
          </cell>
          <cell r="L570">
            <v>0</v>
          </cell>
          <cell r="M570">
            <v>0</v>
          </cell>
          <cell r="N570">
            <v>0</v>
          </cell>
          <cell r="O570">
            <v>0</v>
          </cell>
          <cell r="P570">
            <v>0</v>
          </cell>
          <cell r="Q570">
            <v>0</v>
          </cell>
          <cell r="R570">
            <v>34.748212821074432</v>
          </cell>
          <cell r="S570">
            <v>330.26178717892549</v>
          </cell>
          <cell r="T570">
            <v>388.578148839172</v>
          </cell>
          <cell r="U570">
            <v>547.51499999999999</v>
          </cell>
          <cell r="V570">
            <v>158.93685116082801</v>
          </cell>
          <cell r="W570">
            <v>0</v>
          </cell>
          <cell r="X570">
            <v>0</v>
          </cell>
          <cell r="Y570">
            <v>0</v>
          </cell>
        </row>
        <row r="571">
          <cell r="J571">
            <v>0</v>
          </cell>
          <cell r="K571">
            <v>0</v>
          </cell>
          <cell r="L571">
            <v>0</v>
          </cell>
          <cell r="M571">
            <v>0</v>
          </cell>
          <cell r="N571">
            <v>0</v>
          </cell>
          <cell r="O571">
            <v>0</v>
          </cell>
          <cell r="P571">
            <v>0</v>
          </cell>
          <cell r="Q571">
            <v>0</v>
          </cell>
          <cell r="R571">
            <v>26.938646949517924</v>
          </cell>
          <cell r="S571">
            <v>256.03635305048203</v>
          </cell>
          <cell r="T571">
            <v>301.24627179464864</v>
          </cell>
          <cell r="U571">
            <v>424.46250000000003</v>
          </cell>
          <cell r="V571">
            <v>123.21622820535138</v>
          </cell>
          <cell r="W571">
            <v>0</v>
          </cell>
          <cell r="X571">
            <v>0</v>
          </cell>
          <cell r="Y571">
            <v>0</v>
          </cell>
        </row>
        <row r="572">
          <cell r="J572">
            <v>0</v>
          </cell>
          <cell r="K572">
            <v>0</v>
          </cell>
          <cell r="L572">
            <v>0</v>
          </cell>
          <cell r="M572">
            <v>0</v>
          </cell>
          <cell r="N572">
            <v>0</v>
          </cell>
          <cell r="O572">
            <v>0</v>
          </cell>
          <cell r="P572">
            <v>0</v>
          </cell>
          <cell r="Q572">
            <v>0</v>
          </cell>
          <cell r="R572">
            <v>65.270825530931518</v>
          </cell>
          <cell r="S572">
            <v>620.36167446906836</v>
          </cell>
          <cell r="T572">
            <v>729.90276330504241</v>
          </cell>
          <cell r="U572">
            <v>1028.44875</v>
          </cell>
          <cell r="V572">
            <v>298.54598669495743</v>
          </cell>
          <cell r="W572">
            <v>0</v>
          </cell>
          <cell r="X572">
            <v>0</v>
          </cell>
          <cell r="Y572">
            <v>0</v>
          </cell>
        </row>
        <row r="573">
          <cell r="J573">
            <v>0</v>
          </cell>
          <cell r="K573">
            <v>0</v>
          </cell>
          <cell r="L573">
            <v>0</v>
          </cell>
          <cell r="M573">
            <v>0</v>
          </cell>
          <cell r="N573">
            <v>0</v>
          </cell>
          <cell r="O573">
            <v>0</v>
          </cell>
          <cell r="P573">
            <v>0</v>
          </cell>
          <cell r="Q573">
            <v>0</v>
          </cell>
          <cell r="R573">
            <v>43.901498108453694</v>
          </cell>
          <cell r="S573">
            <v>417.25850189154619</v>
          </cell>
          <cell r="T573">
            <v>490.93641028649222</v>
          </cell>
          <cell r="U573">
            <v>691.74</v>
          </cell>
          <cell r="V573">
            <v>200.80358971350768</v>
          </cell>
          <cell r="W573">
            <v>0</v>
          </cell>
          <cell r="X573">
            <v>0</v>
          </cell>
          <cell r="Y573">
            <v>0</v>
          </cell>
        </row>
        <row r="574">
          <cell r="J574">
            <v>0</v>
          </cell>
          <cell r="K574">
            <v>0</v>
          </cell>
          <cell r="L574">
            <v>0</v>
          </cell>
          <cell r="M574">
            <v>0</v>
          </cell>
          <cell r="N574">
            <v>0</v>
          </cell>
          <cell r="O574">
            <v>0</v>
          </cell>
          <cell r="P574">
            <v>0</v>
          </cell>
          <cell r="Q574">
            <v>0</v>
          </cell>
          <cell r="R574">
            <v>65.681366797721154</v>
          </cell>
          <cell r="S574">
            <v>624.2636332022787</v>
          </cell>
          <cell r="T574">
            <v>734.49371496902143</v>
          </cell>
          <cell r="U574">
            <v>1034.9175</v>
          </cell>
          <cell r="V574">
            <v>300.42378503097859</v>
          </cell>
          <cell r="W574">
            <v>0</v>
          </cell>
          <cell r="X574">
            <v>0</v>
          </cell>
          <cell r="Y574">
            <v>0</v>
          </cell>
        </row>
        <row r="575">
          <cell r="J575">
            <v>0</v>
          </cell>
          <cell r="K575">
            <v>0</v>
          </cell>
          <cell r="L575">
            <v>0</v>
          </cell>
          <cell r="M575">
            <v>0</v>
          </cell>
          <cell r="N575">
            <v>0</v>
          </cell>
          <cell r="O575">
            <v>0</v>
          </cell>
          <cell r="P575">
            <v>0</v>
          </cell>
          <cell r="Q575">
            <v>0</v>
          </cell>
          <cell r="R575">
            <v>21.653731372514699</v>
          </cell>
          <cell r="S575">
            <v>205.80626862748525</v>
          </cell>
          <cell r="T575">
            <v>242.14675141765443</v>
          </cell>
          <cell r="U575">
            <v>341.18999999999994</v>
          </cell>
          <cell r="V575">
            <v>99.043248582345512</v>
          </cell>
          <cell r="W575">
            <v>0</v>
          </cell>
          <cell r="X575">
            <v>0</v>
          </cell>
          <cell r="Y575">
            <v>0</v>
          </cell>
        </row>
        <row r="576">
          <cell r="J576">
            <v>0</v>
          </cell>
          <cell r="K576">
            <v>0</v>
          </cell>
          <cell r="L576">
            <v>0</v>
          </cell>
          <cell r="M576">
            <v>0</v>
          </cell>
          <cell r="N576">
            <v>0</v>
          </cell>
          <cell r="O576">
            <v>0</v>
          </cell>
          <cell r="P576">
            <v>0</v>
          </cell>
          <cell r="Q576">
            <v>0</v>
          </cell>
          <cell r="R576">
            <v>16.510898773061275</v>
          </cell>
          <cell r="S576">
            <v>156.92660122693869</v>
          </cell>
          <cell r="T576">
            <v>184.63609952958518</v>
          </cell>
          <cell r="U576">
            <v>260.15625</v>
          </cell>
          <cell r="V576">
            <v>75.520150470414805</v>
          </cell>
          <cell r="W576">
            <v>0</v>
          </cell>
          <cell r="X576">
            <v>0</v>
          </cell>
          <cell r="Y576">
            <v>0</v>
          </cell>
        </row>
        <row r="577">
          <cell r="J577">
            <v>0</v>
          </cell>
          <cell r="K577">
            <v>0</v>
          </cell>
          <cell r="L577">
            <v>0</v>
          </cell>
          <cell r="M577">
            <v>0</v>
          </cell>
          <cell r="N577">
            <v>0</v>
          </cell>
          <cell r="O577">
            <v>0</v>
          </cell>
          <cell r="P577">
            <v>0</v>
          </cell>
          <cell r="Q577">
            <v>0</v>
          </cell>
          <cell r="R577">
            <v>30.820344376381048</v>
          </cell>
          <cell r="S577">
            <v>292.92965562361888</v>
          </cell>
          <cell r="T577">
            <v>344.65405245522567</v>
          </cell>
          <cell r="U577">
            <v>485.625</v>
          </cell>
          <cell r="V577">
            <v>140.9709475447743</v>
          </cell>
          <cell r="W577">
            <v>0</v>
          </cell>
          <cell r="X577">
            <v>0</v>
          </cell>
          <cell r="Y577">
            <v>0</v>
          </cell>
        </row>
        <row r="578">
          <cell r="J578">
            <v>0</v>
          </cell>
          <cell r="K578">
            <v>0</v>
          </cell>
          <cell r="L578">
            <v>0</v>
          </cell>
          <cell r="M578">
            <v>0</v>
          </cell>
          <cell r="N578">
            <v>0</v>
          </cell>
          <cell r="O578">
            <v>0</v>
          </cell>
          <cell r="P578">
            <v>0</v>
          </cell>
          <cell r="Q578">
            <v>0</v>
          </cell>
          <cell r="R578">
            <v>66.292061806754305</v>
          </cell>
          <cell r="S578">
            <v>630.0679381932456</v>
          </cell>
          <cell r="T578">
            <v>741.32292190801843</v>
          </cell>
          <cell r="U578">
            <v>1044.54</v>
          </cell>
          <cell r="V578">
            <v>303.21707809198159</v>
          </cell>
          <cell r="W578">
            <v>0</v>
          </cell>
          <cell r="X578">
            <v>0</v>
          </cell>
          <cell r="Y578">
            <v>0</v>
          </cell>
        </row>
        <row r="579">
          <cell r="J579">
            <v>0</v>
          </cell>
          <cell r="K579">
            <v>0</v>
          </cell>
          <cell r="L579">
            <v>0</v>
          </cell>
          <cell r="M579">
            <v>0</v>
          </cell>
          <cell r="N579">
            <v>0</v>
          </cell>
          <cell r="O579">
            <v>0</v>
          </cell>
          <cell r="P579">
            <v>0</v>
          </cell>
          <cell r="Q579">
            <v>0</v>
          </cell>
          <cell r="R579">
            <v>1095.6239734156968</v>
          </cell>
          <cell r="S579">
            <v>10413.276026584301</v>
          </cell>
          <cell r="T579">
            <v>12252.012430276283</v>
          </cell>
          <cell r="U579">
            <v>17263.349999999999</v>
          </cell>
          <cell r="V579">
            <v>5011.3375697237161</v>
          </cell>
          <cell r="W579">
            <v>0</v>
          </cell>
          <cell r="X579">
            <v>0</v>
          </cell>
          <cell r="Y579">
            <v>0</v>
          </cell>
        </row>
        <row r="580">
          <cell r="J580">
            <v>0</v>
          </cell>
          <cell r="K580">
            <v>0</v>
          </cell>
          <cell r="L580">
            <v>0</v>
          </cell>
          <cell r="M580">
            <v>0</v>
          </cell>
          <cell r="N580">
            <v>0</v>
          </cell>
          <cell r="O580">
            <v>0</v>
          </cell>
          <cell r="P580">
            <v>0</v>
          </cell>
          <cell r="Q580">
            <v>0</v>
          </cell>
          <cell r="R580">
            <v>277.92858378365082</v>
          </cell>
          <cell r="S580">
            <v>2641.5514162163486</v>
          </cell>
          <cell r="T580">
            <v>3107.9864496123005</v>
          </cell>
          <cell r="U580">
            <v>4379.22</v>
          </cell>
          <cell r="V580">
            <v>1271.2335503876993</v>
          </cell>
          <cell r="W580">
            <v>0</v>
          </cell>
          <cell r="X580">
            <v>0</v>
          </cell>
          <cell r="Y580">
            <v>0</v>
          </cell>
        </row>
        <row r="581">
          <cell r="J581">
            <v>0</v>
          </cell>
          <cell r="K581">
            <v>0</v>
          </cell>
          <cell r="L581">
            <v>0</v>
          </cell>
          <cell r="M581">
            <v>0</v>
          </cell>
          <cell r="N581">
            <v>0</v>
          </cell>
          <cell r="O581">
            <v>0</v>
          </cell>
          <cell r="P581">
            <v>0</v>
          </cell>
          <cell r="Q581">
            <v>0</v>
          </cell>
          <cell r="R581">
            <v>1453.6330936917391</v>
          </cell>
          <cell r="S581">
            <v>13815.946906308258</v>
          </cell>
          <cell r="T581">
            <v>16255.513903596184</v>
          </cell>
          <cell r="U581">
            <v>22904.37</v>
          </cell>
          <cell r="V581">
            <v>6648.8560964038143</v>
          </cell>
          <cell r="W581">
            <v>0</v>
          </cell>
          <cell r="X581">
            <v>0</v>
          </cell>
          <cell r="Y581">
            <v>0</v>
          </cell>
        </row>
        <row r="582">
          <cell r="J582">
            <v>0</v>
          </cell>
          <cell r="K582">
            <v>0</v>
          </cell>
          <cell r="L582">
            <v>0</v>
          </cell>
          <cell r="M582">
            <v>0</v>
          </cell>
          <cell r="N582">
            <v>0</v>
          </cell>
          <cell r="O582">
            <v>0</v>
          </cell>
          <cell r="P582">
            <v>0</v>
          </cell>
          <cell r="Q582">
            <v>0</v>
          </cell>
          <cell r="R582">
            <v>124.40685556387096</v>
          </cell>
          <cell r="S582">
            <v>1182.4156444361288</v>
          </cell>
          <cell r="T582">
            <v>1391.2020709333408</v>
          </cell>
          <cell r="U582">
            <v>1960.2337499999999</v>
          </cell>
          <cell r="V582">
            <v>569.03167906665885</v>
          </cell>
          <cell r="W582">
            <v>0</v>
          </cell>
          <cell r="X582">
            <v>0</v>
          </cell>
          <cell r="Y582">
            <v>0</v>
          </cell>
        </row>
        <row r="585">
          <cell r="J585">
            <v>0</v>
          </cell>
          <cell r="K585">
            <v>0</v>
          </cell>
          <cell r="L585">
            <v>0</v>
          </cell>
          <cell r="M585">
            <v>0</v>
          </cell>
          <cell r="N585">
            <v>0</v>
          </cell>
          <cell r="O585">
            <v>0</v>
          </cell>
          <cell r="P585">
            <v>0</v>
          </cell>
          <cell r="Q585">
            <v>0</v>
          </cell>
          <cell r="R585">
            <v>4.5223797979922216</v>
          </cell>
          <cell r="S585">
            <v>42.982620202007773</v>
          </cell>
          <cell r="T585">
            <v>50.5723266776386</v>
          </cell>
          <cell r="U585">
            <v>71.257500000000007</v>
          </cell>
          <cell r="V585">
            <v>20.6851733223614</v>
          </cell>
          <cell r="W585">
            <v>0</v>
          </cell>
          <cell r="X585">
            <v>0</v>
          </cell>
          <cell r="Y585">
            <v>0</v>
          </cell>
        </row>
        <row r="586">
          <cell r="J586">
            <v>0</v>
          </cell>
          <cell r="K586">
            <v>0</v>
          </cell>
          <cell r="L586">
            <v>0</v>
          </cell>
          <cell r="M586">
            <v>0</v>
          </cell>
          <cell r="N586">
            <v>0</v>
          </cell>
          <cell r="O586">
            <v>0</v>
          </cell>
          <cell r="P586">
            <v>0</v>
          </cell>
          <cell r="Q586">
            <v>0</v>
          </cell>
          <cell r="R586">
            <v>2.3573398536529289</v>
          </cell>
          <cell r="S586">
            <v>22.405160146347068</v>
          </cell>
          <cell r="T586">
            <v>26.361377525629422</v>
          </cell>
          <cell r="U586">
            <v>37.143749999999997</v>
          </cell>
          <cell r="V586">
            <v>10.782372474370575</v>
          </cell>
          <cell r="W586">
            <v>0</v>
          </cell>
          <cell r="X586">
            <v>0</v>
          </cell>
          <cell r="Y586">
            <v>0</v>
          </cell>
        </row>
        <row r="589">
          <cell r="J589">
            <v>0</v>
          </cell>
          <cell r="K589">
            <v>0</v>
          </cell>
          <cell r="L589">
            <v>0</v>
          </cell>
          <cell r="M589">
            <v>0</v>
          </cell>
          <cell r="N589">
            <v>0</v>
          </cell>
          <cell r="O589">
            <v>0</v>
          </cell>
          <cell r="P589">
            <v>0</v>
          </cell>
          <cell r="Q589">
            <v>0</v>
          </cell>
          <cell r="R589">
            <v>0</v>
          </cell>
          <cell r="S589">
            <v>2812.9105994973738</v>
          </cell>
          <cell r="T589">
            <v>5716.8449377550314</v>
          </cell>
          <cell r="U589">
            <v>6634.2544627475945</v>
          </cell>
          <cell r="V589">
            <v>5054.67</v>
          </cell>
          <cell r="W589">
            <v>0</v>
          </cell>
          <cell r="X589">
            <v>0</v>
          </cell>
          <cell r="Y589">
            <v>0</v>
          </cell>
        </row>
        <row r="590">
          <cell r="J590">
            <v>0</v>
          </cell>
          <cell r="K590">
            <v>0</v>
          </cell>
          <cell r="L590">
            <v>0</v>
          </cell>
          <cell r="M590">
            <v>0</v>
          </cell>
          <cell r="N590">
            <v>0</v>
          </cell>
          <cell r="O590">
            <v>0</v>
          </cell>
          <cell r="P590">
            <v>0</v>
          </cell>
          <cell r="Q590">
            <v>0</v>
          </cell>
          <cell r="R590">
            <v>0</v>
          </cell>
          <cell r="S590">
            <v>485.19615107153834</v>
          </cell>
          <cell r="T590">
            <v>986.09289629296643</v>
          </cell>
          <cell r="U590">
            <v>1144.3359526354952</v>
          </cell>
          <cell r="V590">
            <v>871.875</v>
          </cell>
          <cell r="W590">
            <v>0</v>
          </cell>
          <cell r="X590">
            <v>0</v>
          </cell>
          <cell r="Y590">
            <v>0</v>
          </cell>
        </row>
        <row r="591">
          <cell r="J591">
            <v>0</v>
          </cell>
          <cell r="K591">
            <v>0</v>
          </cell>
          <cell r="L591">
            <v>0</v>
          </cell>
          <cell r="M591">
            <v>0</v>
          </cell>
          <cell r="N591">
            <v>0</v>
          </cell>
          <cell r="O591">
            <v>0</v>
          </cell>
          <cell r="P591">
            <v>0</v>
          </cell>
          <cell r="Q591">
            <v>0</v>
          </cell>
          <cell r="R591">
            <v>0</v>
          </cell>
          <cell r="S591">
            <v>4032.3493905388482</v>
          </cell>
          <cell r="T591">
            <v>8195.182671173663</v>
          </cell>
          <cell r="U591">
            <v>9510.3029382874884</v>
          </cell>
          <cell r="V591">
            <v>7245.9449999999997</v>
          </cell>
          <cell r="W591">
            <v>0</v>
          </cell>
          <cell r="X591">
            <v>0</v>
          </cell>
          <cell r="Y591">
            <v>0</v>
          </cell>
        </row>
        <row r="593">
          <cell r="J593">
            <v>0</v>
          </cell>
          <cell r="K593">
            <v>0</v>
          </cell>
          <cell r="L593">
            <v>0</v>
          </cell>
          <cell r="M593">
            <v>0</v>
          </cell>
          <cell r="N593">
            <v>0</v>
          </cell>
          <cell r="O593">
            <v>0</v>
          </cell>
          <cell r="P593">
            <v>0</v>
          </cell>
          <cell r="Q593">
            <v>0</v>
          </cell>
          <cell r="R593">
            <v>0</v>
          </cell>
          <cell r="S593">
            <v>4966.5930142782199</v>
          </cell>
          <cell r="T593">
            <v>10093.901362040942</v>
          </cell>
          <cell r="U593">
            <v>11713.718123680836</v>
          </cell>
          <cell r="V593">
            <v>8924.7374999999993</v>
          </cell>
          <cell r="W593">
            <v>0</v>
          </cell>
          <cell r="X593">
            <v>0</v>
          </cell>
          <cell r="Y593">
            <v>0</v>
          </cell>
        </row>
        <row r="594">
          <cell r="J594">
            <v>0</v>
          </cell>
          <cell r="K594">
            <v>0</v>
          </cell>
          <cell r="L594">
            <v>0</v>
          </cell>
          <cell r="M594">
            <v>0</v>
          </cell>
          <cell r="N594">
            <v>0</v>
          </cell>
          <cell r="O594">
            <v>0</v>
          </cell>
          <cell r="P594">
            <v>0</v>
          </cell>
          <cell r="Q594">
            <v>0</v>
          </cell>
          <cell r="R594">
            <v>0</v>
          </cell>
          <cell r="S594">
            <v>182.94294790337779</v>
          </cell>
          <cell r="T594">
            <v>371.80579638979185</v>
          </cell>
          <cell r="U594">
            <v>431.47125570683039</v>
          </cell>
          <cell r="V594">
            <v>328.74</v>
          </cell>
          <cell r="W594">
            <v>0</v>
          </cell>
          <cell r="X594">
            <v>0</v>
          </cell>
          <cell r="Y594">
            <v>0</v>
          </cell>
        </row>
        <row r="595">
          <cell r="J595">
            <v>0</v>
          </cell>
          <cell r="K595">
            <v>0</v>
          </cell>
          <cell r="L595">
            <v>0</v>
          </cell>
          <cell r="M595">
            <v>0</v>
          </cell>
          <cell r="N595">
            <v>0</v>
          </cell>
          <cell r="O595">
            <v>0</v>
          </cell>
          <cell r="P595">
            <v>0</v>
          </cell>
          <cell r="Q595">
            <v>0</v>
          </cell>
          <cell r="R595">
            <v>0</v>
          </cell>
          <cell r="S595">
            <v>571.36281377151181</v>
          </cell>
          <cell r="T595">
            <v>1161.2145121550591</v>
          </cell>
          <cell r="U595">
            <v>1347.5601740734292</v>
          </cell>
          <cell r="V595">
            <v>1026.7125000000001</v>
          </cell>
          <cell r="W595">
            <v>0</v>
          </cell>
          <cell r="X595">
            <v>0</v>
          </cell>
          <cell r="Y595">
            <v>0</v>
          </cell>
        </row>
        <row r="596">
          <cell r="J596">
            <v>0</v>
          </cell>
          <cell r="K596">
            <v>0</v>
          </cell>
          <cell r="L596">
            <v>0</v>
          </cell>
          <cell r="M596">
            <v>0</v>
          </cell>
          <cell r="N596">
            <v>0</v>
          </cell>
          <cell r="O596">
            <v>0</v>
          </cell>
          <cell r="P596">
            <v>0</v>
          </cell>
          <cell r="Q596">
            <v>0</v>
          </cell>
          <cell r="R596">
            <v>0</v>
          </cell>
          <cell r="S596">
            <v>479.54492020228366</v>
          </cell>
          <cell r="T596">
            <v>974.60756483850901</v>
          </cell>
          <cell r="U596">
            <v>1131.0075149592076</v>
          </cell>
          <cell r="V596">
            <v>861.72</v>
          </cell>
          <cell r="W596">
            <v>0</v>
          </cell>
          <cell r="X596">
            <v>0</v>
          </cell>
          <cell r="Y596">
            <v>0</v>
          </cell>
        </row>
        <row r="598">
          <cell r="J598">
            <v>0</v>
          </cell>
          <cell r="K598">
            <v>0</v>
          </cell>
          <cell r="L598">
            <v>0</v>
          </cell>
          <cell r="M598">
            <v>0</v>
          </cell>
          <cell r="N598">
            <v>0</v>
          </cell>
          <cell r="O598">
            <v>0</v>
          </cell>
          <cell r="P598">
            <v>0</v>
          </cell>
          <cell r="Q598">
            <v>0</v>
          </cell>
          <cell r="R598">
            <v>0</v>
          </cell>
          <cell r="S598">
            <v>102.03101169113829</v>
          </cell>
          <cell r="T598">
            <v>207.36367262604608</v>
          </cell>
          <cell r="U598">
            <v>240.64031568281567</v>
          </cell>
          <cell r="V598">
            <v>183.345</v>
          </cell>
          <cell r="W598">
            <v>0</v>
          </cell>
          <cell r="X598">
            <v>0</v>
          </cell>
          <cell r="Y598">
            <v>0</v>
          </cell>
        </row>
        <row r="600">
          <cell r="J600">
            <v>0</v>
          </cell>
          <cell r="K600">
            <v>0</v>
          </cell>
          <cell r="L600">
            <v>0</v>
          </cell>
          <cell r="M600">
            <v>0</v>
          </cell>
          <cell r="N600">
            <v>0</v>
          </cell>
          <cell r="O600">
            <v>0</v>
          </cell>
          <cell r="P600">
            <v>0</v>
          </cell>
          <cell r="Q600">
            <v>0</v>
          </cell>
          <cell r="R600">
            <v>0</v>
          </cell>
          <cell r="S600">
            <v>0</v>
          </cell>
          <cell r="T600">
            <v>0</v>
          </cell>
          <cell r="U600">
            <v>0</v>
          </cell>
          <cell r="V600">
            <v>0</v>
          </cell>
          <cell r="W600">
            <v>49792.1</v>
          </cell>
          <cell r="X600">
            <v>0</v>
          </cell>
          <cell r="Y600">
            <v>0</v>
          </cell>
        </row>
        <row r="602">
          <cell r="J602">
            <v>0</v>
          </cell>
          <cell r="K602">
            <v>0</v>
          </cell>
          <cell r="L602">
            <v>0</v>
          </cell>
          <cell r="M602">
            <v>0</v>
          </cell>
          <cell r="N602">
            <v>0</v>
          </cell>
          <cell r="O602">
            <v>0</v>
          </cell>
          <cell r="P602">
            <v>0</v>
          </cell>
          <cell r="Q602">
            <v>0</v>
          </cell>
          <cell r="R602">
            <v>0</v>
          </cell>
          <cell r="S602">
            <v>0</v>
          </cell>
          <cell r="T602">
            <v>0</v>
          </cell>
          <cell r="U602">
            <v>0</v>
          </cell>
          <cell r="V602">
            <v>0</v>
          </cell>
          <cell r="W602">
            <v>105541.54</v>
          </cell>
          <cell r="X602">
            <v>0</v>
          </cell>
          <cell r="Y602">
            <v>0</v>
          </cell>
        </row>
        <row r="604">
          <cell r="J604">
            <v>0</v>
          </cell>
          <cell r="K604">
            <v>0</v>
          </cell>
          <cell r="L604">
            <v>0</v>
          </cell>
          <cell r="M604">
            <v>0</v>
          </cell>
          <cell r="N604">
            <v>0</v>
          </cell>
          <cell r="O604">
            <v>0</v>
          </cell>
          <cell r="P604">
            <v>0</v>
          </cell>
          <cell r="Q604">
            <v>0</v>
          </cell>
          <cell r="R604">
            <v>0</v>
          </cell>
          <cell r="S604">
            <v>573.18951641339549</v>
          </cell>
          <cell r="T604">
            <v>1164.9270282061923</v>
          </cell>
          <cell r="U604">
            <v>1351.8684553804123</v>
          </cell>
          <cell r="V604">
            <v>1029.9950000000001</v>
          </cell>
          <cell r="W604">
            <v>0</v>
          </cell>
          <cell r="X604">
            <v>0</v>
          </cell>
          <cell r="Y604">
            <v>0</v>
          </cell>
        </row>
        <row r="605">
          <cell r="J605">
            <v>0</v>
          </cell>
          <cell r="K605">
            <v>0</v>
          </cell>
          <cell r="L605">
            <v>0</v>
          </cell>
          <cell r="M605">
            <v>0</v>
          </cell>
          <cell r="N605">
            <v>0</v>
          </cell>
          <cell r="O605">
            <v>0</v>
          </cell>
          <cell r="P605">
            <v>0</v>
          </cell>
          <cell r="Q605">
            <v>0</v>
          </cell>
          <cell r="R605">
            <v>0</v>
          </cell>
          <cell r="S605">
            <v>19.60401136845605</v>
          </cell>
          <cell r="T605">
            <v>39.842394270004846</v>
          </cell>
          <cell r="U605">
            <v>46.236094361539109</v>
          </cell>
          <cell r="V605">
            <v>35.227499999999999</v>
          </cell>
          <cell r="W605">
            <v>0</v>
          </cell>
          <cell r="X605">
            <v>0</v>
          </cell>
          <cell r="Y605">
            <v>0</v>
          </cell>
        </row>
        <row r="606">
          <cell r="J606">
            <v>0</v>
          </cell>
          <cell r="K606">
            <v>0</v>
          </cell>
          <cell r="L606">
            <v>0</v>
          </cell>
          <cell r="M606">
            <v>0</v>
          </cell>
          <cell r="N606">
            <v>0</v>
          </cell>
          <cell r="O606">
            <v>0</v>
          </cell>
          <cell r="P606">
            <v>0</v>
          </cell>
          <cell r="Q606">
            <v>0</v>
          </cell>
          <cell r="R606">
            <v>0</v>
          </cell>
          <cell r="S606">
            <v>50.10563263323715</v>
          </cell>
          <cell r="T606">
            <v>101.83264705373817</v>
          </cell>
          <cell r="U606">
            <v>118.1742203130247</v>
          </cell>
          <cell r="V606">
            <v>90.037500000000009</v>
          </cell>
          <cell r="W606">
            <v>0</v>
          </cell>
          <cell r="X606">
            <v>0</v>
          </cell>
          <cell r="Y606">
            <v>0</v>
          </cell>
        </row>
        <row r="607">
          <cell r="J607">
            <v>0</v>
          </cell>
          <cell r="K607">
            <v>0</v>
          </cell>
          <cell r="L607">
            <v>0</v>
          </cell>
          <cell r="M607">
            <v>0</v>
          </cell>
          <cell r="N607">
            <v>0</v>
          </cell>
          <cell r="O607">
            <v>0</v>
          </cell>
          <cell r="P607">
            <v>0</v>
          </cell>
          <cell r="Q607">
            <v>0</v>
          </cell>
          <cell r="R607">
            <v>0</v>
          </cell>
          <cell r="S607">
            <v>295.79226861453697</v>
          </cell>
          <cell r="T607">
            <v>601.15615965834434</v>
          </cell>
          <cell r="U607">
            <v>697.62657172711886</v>
          </cell>
          <cell r="V607">
            <v>531.52500000000009</v>
          </cell>
          <cell r="W607">
            <v>0</v>
          </cell>
          <cell r="X607">
            <v>0</v>
          </cell>
          <cell r="Y607">
            <v>0</v>
          </cell>
        </row>
        <row r="608">
          <cell r="J608">
            <v>0</v>
          </cell>
          <cell r="K608">
            <v>0</v>
          </cell>
          <cell r="L608">
            <v>0</v>
          </cell>
          <cell r="M608">
            <v>0</v>
          </cell>
          <cell r="N608">
            <v>0</v>
          </cell>
          <cell r="O608">
            <v>0</v>
          </cell>
          <cell r="P608">
            <v>0</v>
          </cell>
          <cell r="Q608">
            <v>0</v>
          </cell>
          <cell r="R608">
            <v>0</v>
          </cell>
          <cell r="S608">
            <v>94.075881678730966</v>
          </cell>
          <cell r="T608">
            <v>191.19599038661045</v>
          </cell>
          <cell r="U608">
            <v>221.87812793465864</v>
          </cell>
          <cell r="V608">
            <v>169.05</v>
          </cell>
          <cell r="W608">
            <v>0</v>
          </cell>
          <cell r="X608">
            <v>0</v>
          </cell>
          <cell r="Y608">
            <v>0</v>
          </cell>
        </row>
        <row r="609">
          <cell r="J609">
            <v>0</v>
          </cell>
          <cell r="K609">
            <v>0</v>
          </cell>
          <cell r="L609">
            <v>0</v>
          </cell>
          <cell r="M609">
            <v>0</v>
          </cell>
          <cell r="N609">
            <v>0</v>
          </cell>
          <cell r="O609">
            <v>0</v>
          </cell>
          <cell r="P609">
            <v>0</v>
          </cell>
          <cell r="Q609">
            <v>0</v>
          </cell>
          <cell r="R609">
            <v>0</v>
          </cell>
          <cell r="S609">
            <v>218.63808094435976</v>
          </cell>
          <cell r="T609">
            <v>444.3511309853148</v>
          </cell>
          <cell r="U609">
            <v>515.6582880703254</v>
          </cell>
          <cell r="V609">
            <v>392.88249999999999</v>
          </cell>
          <cell r="W609">
            <v>0</v>
          </cell>
          <cell r="X609">
            <v>0</v>
          </cell>
          <cell r="Y609">
            <v>0</v>
          </cell>
        </row>
        <row r="610">
          <cell r="J610">
            <v>0</v>
          </cell>
          <cell r="K610">
            <v>0</v>
          </cell>
          <cell r="L610">
            <v>0</v>
          </cell>
          <cell r="M610">
            <v>0</v>
          </cell>
          <cell r="N610">
            <v>0</v>
          </cell>
          <cell r="O610">
            <v>0</v>
          </cell>
          <cell r="P610">
            <v>0</v>
          </cell>
          <cell r="Q610">
            <v>0</v>
          </cell>
          <cell r="R610">
            <v>0</v>
          </cell>
          <cell r="S610">
            <v>22.454669185074206</v>
          </cell>
          <cell r="T610">
            <v>45.635955114461581</v>
          </cell>
          <cell r="U610">
            <v>52.959375700464214</v>
          </cell>
          <cell r="V610">
            <v>40.35</v>
          </cell>
          <cell r="W610">
            <v>0</v>
          </cell>
          <cell r="X610">
            <v>0</v>
          </cell>
          <cell r="Y610">
            <v>0</v>
          </cell>
        </row>
        <row r="611">
          <cell r="J611">
            <v>0</v>
          </cell>
          <cell r="K611">
            <v>0</v>
          </cell>
          <cell r="L611">
            <v>0</v>
          </cell>
          <cell r="M611">
            <v>0</v>
          </cell>
          <cell r="N611">
            <v>0</v>
          </cell>
          <cell r="O611">
            <v>0</v>
          </cell>
          <cell r="P611">
            <v>0</v>
          </cell>
          <cell r="Q611">
            <v>0</v>
          </cell>
          <cell r="R611">
            <v>0</v>
          </cell>
          <cell r="S611">
            <v>18.710833077451237</v>
          </cell>
          <cell r="T611">
            <v>38.027135088871987</v>
          </cell>
          <cell r="U611">
            <v>44.129531833676779</v>
          </cell>
          <cell r="V611">
            <v>33.622500000000002</v>
          </cell>
          <cell r="W611">
            <v>0</v>
          </cell>
          <cell r="X611">
            <v>0</v>
          </cell>
          <cell r="Y611">
            <v>0</v>
          </cell>
        </row>
        <row r="612">
          <cell r="J612">
            <v>0</v>
          </cell>
          <cell r="K612">
            <v>0</v>
          </cell>
          <cell r="L612">
            <v>0</v>
          </cell>
          <cell r="M612">
            <v>0</v>
          </cell>
          <cell r="N612">
            <v>0</v>
          </cell>
          <cell r="O612">
            <v>0</v>
          </cell>
          <cell r="P612">
            <v>0</v>
          </cell>
          <cell r="Q612">
            <v>0</v>
          </cell>
          <cell r="R612">
            <v>0</v>
          </cell>
          <cell r="S612">
            <v>65.005849917756649</v>
          </cell>
          <cell r="T612">
            <v>132.11524180441248</v>
          </cell>
          <cell r="U612">
            <v>153.31640827783087</v>
          </cell>
          <cell r="V612">
            <v>116.8125</v>
          </cell>
          <cell r="W612">
            <v>0</v>
          </cell>
          <cell r="X612">
            <v>0</v>
          </cell>
          <cell r="Y612">
            <v>0</v>
          </cell>
        </row>
        <row r="613">
          <cell r="J613">
            <v>0</v>
          </cell>
          <cell r="K613">
            <v>0</v>
          </cell>
          <cell r="L613">
            <v>0</v>
          </cell>
          <cell r="M613">
            <v>0</v>
          </cell>
          <cell r="N613">
            <v>0</v>
          </cell>
          <cell r="O613">
            <v>0</v>
          </cell>
          <cell r="P613">
            <v>0</v>
          </cell>
          <cell r="Q613">
            <v>0</v>
          </cell>
          <cell r="R613">
            <v>0</v>
          </cell>
          <cell r="S613">
            <v>27.49236169555461</v>
          </cell>
          <cell r="T613">
            <v>55.87435619683243</v>
          </cell>
          <cell r="U613">
            <v>64.840782107612981</v>
          </cell>
          <cell r="V613">
            <v>49.402500000000003</v>
          </cell>
          <cell r="W613">
            <v>0</v>
          </cell>
          <cell r="X613">
            <v>0</v>
          </cell>
          <cell r="Y613">
            <v>0</v>
          </cell>
        </row>
        <row r="614">
          <cell r="J614">
            <v>0</v>
          </cell>
          <cell r="K614">
            <v>0</v>
          </cell>
          <cell r="L614">
            <v>0</v>
          </cell>
          <cell r="M614">
            <v>0</v>
          </cell>
          <cell r="N614">
            <v>0</v>
          </cell>
          <cell r="O614">
            <v>0</v>
          </cell>
          <cell r="P614">
            <v>0</v>
          </cell>
          <cell r="Q614">
            <v>0</v>
          </cell>
          <cell r="R614">
            <v>0</v>
          </cell>
          <cell r="S614">
            <v>13.920781899990862</v>
          </cell>
          <cell r="T614">
            <v>28.292030165756046</v>
          </cell>
          <cell r="U614">
            <v>32.832187934253092</v>
          </cell>
          <cell r="V614">
            <v>25.015000000000001</v>
          </cell>
          <cell r="W614">
            <v>0</v>
          </cell>
          <cell r="X614">
            <v>0</v>
          </cell>
          <cell r="Y614">
            <v>0</v>
          </cell>
        </row>
        <row r="615">
          <cell r="J615">
            <v>0</v>
          </cell>
          <cell r="K615">
            <v>0</v>
          </cell>
          <cell r="L615">
            <v>0</v>
          </cell>
          <cell r="M615">
            <v>0</v>
          </cell>
          <cell r="N615">
            <v>0</v>
          </cell>
          <cell r="O615">
            <v>0</v>
          </cell>
          <cell r="P615">
            <v>0</v>
          </cell>
          <cell r="Q615">
            <v>0</v>
          </cell>
          <cell r="R615">
            <v>0</v>
          </cell>
          <cell r="S615">
            <v>21.654704204812884</v>
          </cell>
          <cell r="T615">
            <v>44.010138869677476</v>
          </cell>
          <cell r="U615">
            <v>51.072656925509634</v>
          </cell>
          <cell r="V615">
            <v>38.912500000000001</v>
          </cell>
          <cell r="W615">
            <v>0</v>
          </cell>
          <cell r="X615">
            <v>0</v>
          </cell>
          <cell r="Y615">
            <v>0</v>
          </cell>
        </row>
        <row r="616">
          <cell r="J616">
            <v>0</v>
          </cell>
          <cell r="K616">
            <v>0</v>
          </cell>
          <cell r="L616">
            <v>0</v>
          </cell>
          <cell r="M616">
            <v>0</v>
          </cell>
          <cell r="N616">
            <v>0</v>
          </cell>
          <cell r="O616">
            <v>0</v>
          </cell>
          <cell r="P616">
            <v>0</v>
          </cell>
          <cell r="Q616">
            <v>0</v>
          </cell>
          <cell r="R616">
            <v>0</v>
          </cell>
          <cell r="S616">
            <v>111.25495572441227</v>
          </cell>
          <cell r="T616">
            <v>226.11004080503491</v>
          </cell>
          <cell r="U616">
            <v>262.39500347055275</v>
          </cell>
          <cell r="V616">
            <v>199.92</v>
          </cell>
          <cell r="W616">
            <v>0</v>
          </cell>
          <cell r="X616">
            <v>0</v>
          </cell>
          <cell r="Y616">
            <v>0</v>
          </cell>
        </row>
        <row r="619">
          <cell r="J619">
            <v>0</v>
          </cell>
          <cell r="K619">
            <v>0</v>
          </cell>
          <cell r="L619">
            <v>0</v>
          </cell>
          <cell r="M619">
            <v>0</v>
          </cell>
          <cell r="N619">
            <v>0</v>
          </cell>
          <cell r="O619">
            <v>0</v>
          </cell>
          <cell r="P619">
            <v>0</v>
          </cell>
          <cell r="Q619">
            <v>0</v>
          </cell>
          <cell r="R619">
            <v>89.067225323682194</v>
          </cell>
          <cell r="S619">
            <v>846.53277467631779</v>
          </cell>
          <cell r="T619">
            <v>996.01029027678499</v>
          </cell>
          <cell r="U619">
            <v>1403.4</v>
          </cell>
          <cell r="V619">
            <v>407.38970972321493</v>
          </cell>
          <cell r="W619">
            <v>0</v>
          </cell>
          <cell r="X619">
            <v>0</v>
          </cell>
          <cell r="Y619">
            <v>0</v>
          </cell>
        </row>
        <row r="620">
          <cell r="J620">
            <v>0</v>
          </cell>
          <cell r="K620">
            <v>0</v>
          </cell>
          <cell r="L620">
            <v>0</v>
          </cell>
          <cell r="M620">
            <v>0</v>
          </cell>
          <cell r="N620">
            <v>0</v>
          </cell>
          <cell r="O620">
            <v>0</v>
          </cell>
          <cell r="P620">
            <v>0</v>
          </cell>
          <cell r="Q620">
            <v>0</v>
          </cell>
          <cell r="R620">
            <v>393.11789542707976</v>
          </cell>
          <cell r="S620">
            <v>3736.3596045729196</v>
          </cell>
          <cell r="T620">
            <v>4396.1116753596116</v>
          </cell>
          <cell r="U620">
            <v>6194.2162499999995</v>
          </cell>
          <cell r="V620">
            <v>1798.1045746403884</v>
          </cell>
          <cell r="W620">
            <v>0</v>
          </cell>
          <cell r="X620">
            <v>0</v>
          </cell>
          <cell r="Y620">
            <v>0</v>
          </cell>
        </row>
        <row r="621">
          <cell r="J621">
            <v>0</v>
          </cell>
          <cell r="K621">
            <v>0</v>
          </cell>
          <cell r="L621">
            <v>0</v>
          </cell>
          <cell r="M621">
            <v>0</v>
          </cell>
          <cell r="N621">
            <v>0</v>
          </cell>
          <cell r="O621">
            <v>0</v>
          </cell>
          <cell r="P621">
            <v>0</v>
          </cell>
          <cell r="Q621">
            <v>0</v>
          </cell>
          <cell r="R621">
            <v>0</v>
          </cell>
          <cell r="S621">
            <v>0</v>
          </cell>
          <cell r="T621">
            <v>0</v>
          </cell>
          <cell r="U621">
            <v>0</v>
          </cell>
          <cell r="V621">
            <v>0</v>
          </cell>
          <cell r="W621">
            <v>713</v>
          </cell>
          <cell r="X621">
            <v>0</v>
          </cell>
          <cell r="Y621">
            <v>0</v>
          </cell>
        </row>
        <row r="622">
          <cell r="J622">
            <v>0</v>
          </cell>
          <cell r="K622">
            <v>0</v>
          </cell>
          <cell r="L622">
            <v>0</v>
          </cell>
          <cell r="M622">
            <v>0</v>
          </cell>
          <cell r="N622">
            <v>0</v>
          </cell>
          <cell r="O622">
            <v>0</v>
          </cell>
          <cell r="P622">
            <v>0</v>
          </cell>
          <cell r="Q622">
            <v>0</v>
          </cell>
          <cell r="R622">
            <v>0</v>
          </cell>
          <cell r="S622">
            <v>0</v>
          </cell>
          <cell r="T622">
            <v>0</v>
          </cell>
          <cell r="U622">
            <v>0</v>
          </cell>
          <cell r="V622">
            <v>0</v>
          </cell>
          <cell r="W622">
            <v>1478.47</v>
          </cell>
          <cell r="X622">
            <v>0</v>
          </cell>
          <cell r="Y622">
            <v>0</v>
          </cell>
        </row>
        <row r="624">
          <cell r="J624">
            <v>0</v>
          </cell>
          <cell r="K624">
            <v>0</v>
          </cell>
          <cell r="L624">
            <v>0</v>
          </cell>
          <cell r="M624">
            <v>0</v>
          </cell>
          <cell r="N624">
            <v>0</v>
          </cell>
          <cell r="O624">
            <v>0</v>
          </cell>
          <cell r="P624">
            <v>0</v>
          </cell>
          <cell r="Q624">
            <v>0</v>
          </cell>
          <cell r="R624">
            <v>0</v>
          </cell>
          <cell r="S624">
            <v>0</v>
          </cell>
          <cell r="T624">
            <v>0</v>
          </cell>
          <cell r="U624">
            <v>0</v>
          </cell>
          <cell r="V624">
            <v>1383.7948590867352</v>
          </cell>
          <cell r="W624">
            <v>2525.4809999999993</v>
          </cell>
          <cell r="X624">
            <v>1803.915</v>
          </cell>
          <cell r="Y624">
            <v>1502.4691409132645</v>
          </cell>
        </row>
        <row r="625">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row>
        <row r="626">
          <cell r="J626">
            <v>0</v>
          </cell>
          <cell r="K626">
            <v>0</v>
          </cell>
          <cell r="L626">
            <v>0</v>
          </cell>
          <cell r="M626">
            <v>0</v>
          </cell>
          <cell r="N626">
            <v>0</v>
          </cell>
          <cell r="O626">
            <v>0</v>
          </cell>
          <cell r="P626">
            <v>0</v>
          </cell>
          <cell r="Q626">
            <v>0</v>
          </cell>
          <cell r="R626">
            <v>0</v>
          </cell>
          <cell r="S626">
            <v>0</v>
          </cell>
          <cell r="T626">
            <v>0</v>
          </cell>
          <cell r="U626">
            <v>0</v>
          </cell>
          <cell r="V626">
            <v>3419.3693973554914</v>
          </cell>
          <cell r="W626">
            <v>6240.485999999999</v>
          </cell>
          <cell r="X626">
            <v>4457.49</v>
          </cell>
          <cell r="Y626">
            <v>3712.6146026445081</v>
          </cell>
        </row>
        <row r="627">
          <cell r="J627">
            <v>0</v>
          </cell>
          <cell r="K627">
            <v>0</v>
          </cell>
          <cell r="L627">
            <v>0</v>
          </cell>
          <cell r="M627">
            <v>0</v>
          </cell>
          <cell r="N627">
            <v>0</v>
          </cell>
          <cell r="O627">
            <v>0</v>
          </cell>
          <cell r="P627">
            <v>0</v>
          </cell>
          <cell r="Q627">
            <v>0</v>
          </cell>
          <cell r="R627">
            <v>0</v>
          </cell>
          <cell r="S627">
            <v>0</v>
          </cell>
          <cell r="T627">
            <v>0</v>
          </cell>
          <cell r="U627">
            <v>0</v>
          </cell>
          <cell r="V627">
            <v>6706.4359426660203</v>
          </cell>
          <cell r="W627">
            <v>12239.513999999999</v>
          </cell>
          <cell r="X627">
            <v>8742.51</v>
          </cell>
          <cell r="Y627">
            <v>7281.5800573339784</v>
          </cell>
        </row>
        <row r="628">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row>
        <row r="629">
          <cell r="J629">
            <v>0</v>
          </cell>
          <cell r="K629">
            <v>0</v>
          </cell>
          <cell r="L629">
            <v>0</v>
          </cell>
          <cell r="M629">
            <v>0</v>
          </cell>
          <cell r="N629">
            <v>0</v>
          </cell>
          <cell r="O629">
            <v>0</v>
          </cell>
          <cell r="P629">
            <v>0</v>
          </cell>
          <cell r="Q629">
            <v>0</v>
          </cell>
          <cell r="R629">
            <v>0</v>
          </cell>
          <cell r="S629">
            <v>0</v>
          </cell>
          <cell r="T629">
            <v>0</v>
          </cell>
          <cell r="U629">
            <v>0</v>
          </cell>
          <cell r="V629">
            <v>315.05446077072236</v>
          </cell>
          <cell r="W629">
            <v>574.98699999999997</v>
          </cell>
          <cell r="X629">
            <v>410.70499999999998</v>
          </cell>
          <cell r="Y629">
            <v>342.07353922927763</v>
          </cell>
        </row>
        <row r="630">
          <cell r="J630">
            <v>0</v>
          </cell>
          <cell r="K630">
            <v>0</v>
          </cell>
          <cell r="L630">
            <v>0</v>
          </cell>
          <cell r="M630">
            <v>0</v>
          </cell>
          <cell r="N630">
            <v>0</v>
          </cell>
          <cell r="O630">
            <v>0</v>
          </cell>
          <cell r="P630">
            <v>0</v>
          </cell>
          <cell r="Q630">
            <v>0</v>
          </cell>
          <cell r="R630">
            <v>0</v>
          </cell>
          <cell r="S630">
            <v>0</v>
          </cell>
          <cell r="T630">
            <v>0</v>
          </cell>
          <cell r="U630">
            <v>0</v>
          </cell>
          <cell r="V630">
            <v>323.51180954903577</v>
          </cell>
          <cell r="W630">
            <v>590.42200000000003</v>
          </cell>
          <cell r="X630">
            <v>421.73</v>
          </cell>
          <cell r="Y630">
            <v>351.25619045096425</v>
          </cell>
        </row>
        <row r="631">
          <cell r="J631">
            <v>0</v>
          </cell>
          <cell r="K631">
            <v>0</v>
          </cell>
          <cell r="L631">
            <v>0</v>
          </cell>
          <cell r="M631">
            <v>0</v>
          </cell>
          <cell r="N631">
            <v>0</v>
          </cell>
          <cell r="O631">
            <v>0</v>
          </cell>
          <cell r="P631">
            <v>0</v>
          </cell>
          <cell r="Q631">
            <v>0</v>
          </cell>
          <cell r="R631">
            <v>0</v>
          </cell>
          <cell r="S631">
            <v>0</v>
          </cell>
          <cell r="T631">
            <v>0</v>
          </cell>
          <cell r="U631">
            <v>0</v>
          </cell>
          <cell r="V631">
            <v>1296.2449982188068</v>
          </cell>
          <cell r="W631">
            <v>2365.6990000000001</v>
          </cell>
          <cell r="X631">
            <v>1689.7850000000001</v>
          </cell>
          <cell r="Y631">
            <v>1407.4110017811931</v>
          </cell>
        </row>
        <row r="632">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row>
        <row r="633">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row>
        <row r="634">
          <cell r="J634">
            <v>0</v>
          </cell>
          <cell r="K634">
            <v>0</v>
          </cell>
          <cell r="L634">
            <v>0</v>
          </cell>
          <cell r="M634">
            <v>0</v>
          </cell>
          <cell r="N634">
            <v>0</v>
          </cell>
          <cell r="O634">
            <v>0</v>
          </cell>
          <cell r="P634">
            <v>0</v>
          </cell>
          <cell r="Q634">
            <v>0</v>
          </cell>
          <cell r="R634">
            <v>0</v>
          </cell>
          <cell r="S634">
            <v>0</v>
          </cell>
          <cell r="T634">
            <v>0</v>
          </cell>
          <cell r="U634">
            <v>0</v>
          </cell>
          <cell r="V634">
            <v>5921.8221902119176</v>
          </cell>
          <cell r="W634">
            <v>10807.5625</v>
          </cell>
          <cell r="X634">
            <v>7719.6875000000009</v>
          </cell>
          <cell r="Y634">
            <v>6429.6778097880815</v>
          </cell>
        </row>
        <row r="635">
          <cell r="J635">
            <v>0</v>
          </cell>
          <cell r="K635">
            <v>0</v>
          </cell>
          <cell r="L635">
            <v>0</v>
          </cell>
          <cell r="M635">
            <v>0</v>
          </cell>
          <cell r="N635">
            <v>0</v>
          </cell>
          <cell r="O635">
            <v>0</v>
          </cell>
          <cell r="P635">
            <v>0</v>
          </cell>
          <cell r="Q635">
            <v>0</v>
          </cell>
          <cell r="R635">
            <v>0</v>
          </cell>
          <cell r="S635">
            <v>0</v>
          </cell>
          <cell r="T635">
            <v>0</v>
          </cell>
          <cell r="U635">
            <v>0</v>
          </cell>
          <cell r="V635">
            <v>887.02054778588445</v>
          </cell>
          <cell r="W635">
            <v>1618.8479999999997</v>
          </cell>
          <cell r="X635">
            <v>1156.32</v>
          </cell>
          <cell r="Y635">
            <v>963.09145221411552</v>
          </cell>
        </row>
        <row r="636">
          <cell r="J636">
            <v>0</v>
          </cell>
          <cell r="K636">
            <v>0</v>
          </cell>
          <cell r="L636">
            <v>0</v>
          </cell>
          <cell r="M636">
            <v>0</v>
          </cell>
          <cell r="N636">
            <v>0</v>
          </cell>
          <cell r="O636">
            <v>0</v>
          </cell>
          <cell r="P636">
            <v>0</v>
          </cell>
          <cell r="Q636">
            <v>0</v>
          </cell>
          <cell r="R636">
            <v>0</v>
          </cell>
          <cell r="S636">
            <v>0</v>
          </cell>
          <cell r="T636">
            <v>0</v>
          </cell>
          <cell r="U636">
            <v>0</v>
          </cell>
          <cell r="V636">
            <v>3116.072760929404</v>
          </cell>
          <cell r="W636">
            <v>5686.9575000000004</v>
          </cell>
          <cell r="X636">
            <v>4062.1125000000002</v>
          </cell>
          <cell r="Y636">
            <v>3383.3072390705961</v>
          </cell>
        </row>
        <row r="637">
          <cell r="J637">
            <v>0</v>
          </cell>
          <cell r="K637">
            <v>0</v>
          </cell>
          <cell r="L637">
            <v>0</v>
          </cell>
          <cell r="M637">
            <v>0</v>
          </cell>
          <cell r="N637">
            <v>0</v>
          </cell>
          <cell r="O637">
            <v>0</v>
          </cell>
          <cell r="P637">
            <v>0</v>
          </cell>
          <cell r="Q637">
            <v>0</v>
          </cell>
          <cell r="R637">
            <v>0</v>
          </cell>
          <cell r="S637">
            <v>0</v>
          </cell>
          <cell r="T637">
            <v>0</v>
          </cell>
          <cell r="U637">
            <v>0</v>
          </cell>
          <cell r="V637">
            <v>91.546485551376307</v>
          </cell>
          <cell r="W637">
            <v>167.07599999999999</v>
          </cell>
          <cell r="X637">
            <v>119.34</v>
          </cell>
          <cell r="Y637">
            <v>99.397514448623696</v>
          </cell>
        </row>
        <row r="638">
          <cell r="J638">
            <v>0</v>
          </cell>
          <cell r="K638">
            <v>0</v>
          </cell>
          <cell r="L638">
            <v>0</v>
          </cell>
          <cell r="M638">
            <v>0</v>
          </cell>
          <cell r="N638">
            <v>0</v>
          </cell>
          <cell r="O638">
            <v>0</v>
          </cell>
          <cell r="P638">
            <v>0</v>
          </cell>
          <cell r="Q638">
            <v>0</v>
          </cell>
          <cell r="R638">
            <v>0</v>
          </cell>
          <cell r="S638">
            <v>0</v>
          </cell>
          <cell r="T638">
            <v>0</v>
          </cell>
          <cell r="U638">
            <v>0</v>
          </cell>
          <cell r="V638">
            <v>1795.6811689537392</v>
          </cell>
          <cell r="W638">
            <v>3277.19</v>
          </cell>
          <cell r="X638">
            <v>2340.85</v>
          </cell>
          <cell r="Y638">
            <v>1949.6788310462609</v>
          </cell>
        </row>
        <row r="639">
          <cell r="J639">
            <v>0</v>
          </cell>
          <cell r="K639">
            <v>0</v>
          </cell>
          <cell r="L639">
            <v>0</v>
          </cell>
          <cell r="M639">
            <v>0</v>
          </cell>
          <cell r="N639">
            <v>0</v>
          </cell>
          <cell r="O639">
            <v>0</v>
          </cell>
          <cell r="P639">
            <v>0</v>
          </cell>
          <cell r="Q639">
            <v>0</v>
          </cell>
          <cell r="R639">
            <v>0</v>
          </cell>
          <cell r="S639">
            <v>0</v>
          </cell>
          <cell r="T639">
            <v>0</v>
          </cell>
          <cell r="U639">
            <v>0</v>
          </cell>
          <cell r="V639">
            <v>1271.3523934245873</v>
          </cell>
          <cell r="W639">
            <v>2320.2689999999998</v>
          </cell>
          <cell r="X639">
            <v>1657.335</v>
          </cell>
          <cell r="Y639">
            <v>1380.3836065754128</v>
          </cell>
        </row>
        <row r="640">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row>
        <row r="641">
          <cell r="J641">
            <v>0</v>
          </cell>
          <cell r="K641">
            <v>0</v>
          </cell>
          <cell r="L641">
            <v>0</v>
          </cell>
          <cell r="M641">
            <v>0</v>
          </cell>
          <cell r="N641">
            <v>0</v>
          </cell>
          <cell r="O641">
            <v>0</v>
          </cell>
          <cell r="P641">
            <v>0</v>
          </cell>
          <cell r="Q641">
            <v>0</v>
          </cell>
          <cell r="R641">
            <v>0</v>
          </cell>
          <cell r="S641">
            <v>0</v>
          </cell>
          <cell r="T641">
            <v>0</v>
          </cell>
          <cell r="U641">
            <v>0</v>
          </cell>
          <cell r="V641">
            <v>708.76034741359672</v>
          </cell>
          <cell r="W641">
            <v>1293.5159999999998</v>
          </cell>
          <cell r="X641">
            <v>923.93999999999994</v>
          </cell>
          <cell r="Y641">
            <v>769.54365258640337</v>
          </cell>
        </row>
        <row r="642">
          <cell r="J642">
            <v>0</v>
          </cell>
          <cell r="K642">
            <v>0</v>
          </cell>
          <cell r="L642">
            <v>0</v>
          </cell>
          <cell r="M642">
            <v>0</v>
          </cell>
          <cell r="N642">
            <v>0</v>
          </cell>
          <cell r="O642">
            <v>0</v>
          </cell>
          <cell r="P642">
            <v>0</v>
          </cell>
          <cell r="Q642">
            <v>0</v>
          </cell>
          <cell r="R642">
            <v>0</v>
          </cell>
          <cell r="S642">
            <v>0</v>
          </cell>
          <cell r="T642">
            <v>0</v>
          </cell>
          <cell r="U642">
            <v>0</v>
          </cell>
          <cell r="V642">
            <v>310.70688487946694</v>
          </cell>
          <cell r="W642">
            <v>567.05250000000001</v>
          </cell>
          <cell r="X642">
            <v>405.03750000000002</v>
          </cell>
          <cell r="Y642">
            <v>337.35311512053306</v>
          </cell>
        </row>
        <row r="643">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row>
        <row r="644">
          <cell r="J644">
            <v>0</v>
          </cell>
          <cell r="K644">
            <v>0</v>
          </cell>
          <cell r="L644">
            <v>0</v>
          </cell>
          <cell r="M644">
            <v>0</v>
          </cell>
          <cell r="N644">
            <v>0</v>
          </cell>
          <cell r="O644">
            <v>0</v>
          </cell>
          <cell r="P644">
            <v>0</v>
          </cell>
          <cell r="Q644">
            <v>0</v>
          </cell>
          <cell r="R644">
            <v>0</v>
          </cell>
          <cell r="S644">
            <v>0</v>
          </cell>
          <cell r="T644">
            <v>0</v>
          </cell>
          <cell r="U644">
            <v>0</v>
          </cell>
          <cell r="V644">
            <v>431.15602427165078</v>
          </cell>
          <cell r="W644">
            <v>786.87699999999995</v>
          </cell>
          <cell r="X644">
            <v>562.05499999999995</v>
          </cell>
          <cell r="Y644">
            <v>468.13197572834918</v>
          </cell>
        </row>
        <row r="645">
          <cell r="J645">
            <v>0</v>
          </cell>
          <cell r="K645">
            <v>0</v>
          </cell>
          <cell r="L645">
            <v>0</v>
          </cell>
          <cell r="M645">
            <v>0</v>
          </cell>
          <cell r="N645">
            <v>0</v>
          </cell>
          <cell r="O645">
            <v>0</v>
          </cell>
          <cell r="P645">
            <v>0</v>
          </cell>
          <cell r="Q645">
            <v>0</v>
          </cell>
          <cell r="R645">
            <v>0</v>
          </cell>
          <cell r="S645">
            <v>0</v>
          </cell>
          <cell r="T645">
            <v>0</v>
          </cell>
          <cell r="U645">
            <v>0</v>
          </cell>
          <cell r="V645">
            <v>559.20910649966527</v>
          </cell>
          <cell r="W645">
            <v>1020.5789999999998</v>
          </cell>
          <cell r="X645">
            <v>728.98500000000001</v>
          </cell>
          <cell r="Y645">
            <v>607.16689350033471</v>
          </cell>
        </row>
        <row r="646">
          <cell r="J646">
            <v>0</v>
          </cell>
          <cell r="K646">
            <v>0</v>
          </cell>
          <cell r="L646">
            <v>0</v>
          </cell>
          <cell r="M646">
            <v>0</v>
          </cell>
          <cell r="N646">
            <v>0</v>
          </cell>
          <cell r="O646">
            <v>0</v>
          </cell>
          <cell r="P646">
            <v>0</v>
          </cell>
          <cell r="Q646">
            <v>0</v>
          </cell>
          <cell r="R646">
            <v>0</v>
          </cell>
          <cell r="S646">
            <v>0</v>
          </cell>
          <cell r="T646">
            <v>0</v>
          </cell>
          <cell r="U646">
            <v>0</v>
          </cell>
          <cell r="V646">
            <v>4631.3745991035057</v>
          </cell>
          <cell r="W646">
            <v>8452.4439999999995</v>
          </cell>
          <cell r="X646">
            <v>6037.46</v>
          </cell>
          <cell r="Y646">
            <v>5028.561400896494</v>
          </cell>
        </row>
        <row r="647">
          <cell r="J647">
            <v>0</v>
          </cell>
          <cell r="K647">
            <v>0</v>
          </cell>
          <cell r="L647">
            <v>0</v>
          </cell>
          <cell r="M647">
            <v>0</v>
          </cell>
          <cell r="N647">
            <v>0</v>
          </cell>
          <cell r="O647">
            <v>0</v>
          </cell>
          <cell r="P647">
            <v>0</v>
          </cell>
          <cell r="Q647">
            <v>0</v>
          </cell>
          <cell r="R647">
            <v>0</v>
          </cell>
          <cell r="S647">
            <v>0</v>
          </cell>
          <cell r="T647">
            <v>0</v>
          </cell>
          <cell r="U647">
            <v>0</v>
          </cell>
          <cell r="V647">
            <v>4792.5896938200904</v>
          </cell>
          <cell r="W647">
            <v>8746.6679999999978</v>
          </cell>
          <cell r="X647">
            <v>6247.62</v>
          </cell>
          <cell r="Y647">
            <v>5203.6023061799087</v>
          </cell>
        </row>
        <row r="648">
          <cell r="J648">
            <v>0</v>
          </cell>
          <cell r="K648">
            <v>0</v>
          </cell>
          <cell r="L648">
            <v>0</v>
          </cell>
          <cell r="M648">
            <v>0</v>
          </cell>
          <cell r="N648">
            <v>0</v>
          </cell>
          <cell r="O648">
            <v>0</v>
          </cell>
          <cell r="P648">
            <v>0</v>
          </cell>
          <cell r="Q648">
            <v>0</v>
          </cell>
          <cell r="R648">
            <v>0</v>
          </cell>
          <cell r="S648">
            <v>0</v>
          </cell>
          <cell r="T648">
            <v>0</v>
          </cell>
          <cell r="U648">
            <v>0</v>
          </cell>
          <cell r="V648">
            <v>399.38247448500755</v>
          </cell>
          <cell r="W648">
            <v>728.8889999999999</v>
          </cell>
          <cell r="X648">
            <v>520.63499999999999</v>
          </cell>
          <cell r="Y648">
            <v>433.63352551499241</v>
          </cell>
        </row>
        <row r="649">
          <cell r="J649">
            <v>0</v>
          </cell>
          <cell r="K649">
            <v>0</v>
          </cell>
          <cell r="L649">
            <v>0</v>
          </cell>
          <cell r="M649">
            <v>0</v>
          </cell>
          <cell r="N649">
            <v>0</v>
          </cell>
          <cell r="O649">
            <v>0</v>
          </cell>
          <cell r="P649">
            <v>0</v>
          </cell>
          <cell r="Q649">
            <v>0</v>
          </cell>
          <cell r="R649">
            <v>0</v>
          </cell>
          <cell r="S649">
            <v>0</v>
          </cell>
          <cell r="T649">
            <v>0</v>
          </cell>
          <cell r="U649">
            <v>0</v>
          </cell>
          <cell r="V649">
            <v>7653.9811905524875</v>
          </cell>
          <cell r="W649">
            <v>13968.821999999998</v>
          </cell>
          <cell r="X649">
            <v>9977.73</v>
          </cell>
          <cell r="Y649">
            <v>8310.386809447511</v>
          </cell>
        </row>
        <row r="650">
          <cell r="J650">
            <v>0</v>
          </cell>
          <cell r="K650">
            <v>0</v>
          </cell>
          <cell r="L650">
            <v>0</v>
          </cell>
          <cell r="M650">
            <v>0</v>
          </cell>
          <cell r="N650">
            <v>0</v>
          </cell>
          <cell r="O650">
            <v>0</v>
          </cell>
          <cell r="P650">
            <v>0</v>
          </cell>
          <cell r="Q650">
            <v>0</v>
          </cell>
          <cell r="R650">
            <v>0</v>
          </cell>
          <cell r="S650">
            <v>0</v>
          </cell>
          <cell r="T650">
            <v>0</v>
          </cell>
          <cell r="U650">
            <v>0</v>
          </cell>
          <cell r="V650">
            <v>203.63224670722806</v>
          </cell>
          <cell r="W650">
            <v>371.637</v>
          </cell>
          <cell r="X650">
            <v>265.45499999999998</v>
          </cell>
          <cell r="Y650">
            <v>221.09575329277195</v>
          </cell>
        </row>
        <row r="651">
          <cell r="J651">
            <v>0</v>
          </cell>
          <cell r="K651">
            <v>0</v>
          </cell>
          <cell r="L651">
            <v>0</v>
          </cell>
          <cell r="M651">
            <v>0</v>
          </cell>
          <cell r="N651">
            <v>0</v>
          </cell>
          <cell r="O651">
            <v>0</v>
          </cell>
          <cell r="P651">
            <v>0</v>
          </cell>
          <cell r="Q651">
            <v>0</v>
          </cell>
          <cell r="R651">
            <v>0</v>
          </cell>
          <cell r="S651">
            <v>0</v>
          </cell>
          <cell r="T651">
            <v>0</v>
          </cell>
          <cell r="U651">
            <v>0</v>
          </cell>
          <cell r="V651">
            <v>1097.8846906933438</v>
          </cell>
          <cell r="W651">
            <v>2003.6835000000001</v>
          </cell>
          <cell r="X651">
            <v>1431.2025000000001</v>
          </cell>
          <cell r="Y651">
            <v>1192.0393093066562</v>
          </cell>
        </row>
        <row r="652">
          <cell r="J652">
            <v>0</v>
          </cell>
          <cell r="K652">
            <v>0</v>
          </cell>
          <cell r="L652">
            <v>0</v>
          </cell>
          <cell r="M652">
            <v>0</v>
          </cell>
          <cell r="N652">
            <v>0</v>
          </cell>
          <cell r="O652">
            <v>0</v>
          </cell>
          <cell r="P652">
            <v>0</v>
          </cell>
          <cell r="Q652">
            <v>0</v>
          </cell>
          <cell r="R652">
            <v>0</v>
          </cell>
          <cell r="S652">
            <v>0</v>
          </cell>
          <cell r="T652">
            <v>0</v>
          </cell>
          <cell r="U652">
            <v>0</v>
          </cell>
          <cell r="V652">
            <v>1587.956409254919</v>
          </cell>
          <cell r="W652">
            <v>2898.0839999999994</v>
          </cell>
          <cell r="X652">
            <v>2070.06</v>
          </cell>
          <cell r="Y652">
            <v>1724.1395907450808</v>
          </cell>
        </row>
        <row r="653">
          <cell r="J653">
            <v>0</v>
          </cell>
          <cell r="K653">
            <v>0</v>
          </cell>
          <cell r="L653">
            <v>0</v>
          </cell>
          <cell r="M653">
            <v>0</v>
          </cell>
          <cell r="N653">
            <v>0</v>
          </cell>
          <cell r="O653">
            <v>0</v>
          </cell>
          <cell r="P653">
            <v>0</v>
          </cell>
          <cell r="Q653">
            <v>0</v>
          </cell>
          <cell r="R653">
            <v>0</v>
          </cell>
          <cell r="S653">
            <v>0</v>
          </cell>
          <cell r="T653">
            <v>0</v>
          </cell>
          <cell r="U653">
            <v>0</v>
          </cell>
          <cell r="V653">
            <v>753.17581174596364</v>
          </cell>
          <cell r="W653">
            <v>1374.5759999999996</v>
          </cell>
          <cell r="X653">
            <v>981.83999999999992</v>
          </cell>
          <cell r="Y653">
            <v>817.7681882540362</v>
          </cell>
        </row>
        <row r="654">
          <cell r="J654">
            <v>0</v>
          </cell>
          <cell r="K654">
            <v>0</v>
          </cell>
          <cell r="L654">
            <v>0</v>
          </cell>
          <cell r="M654">
            <v>0</v>
          </cell>
          <cell r="N654">
            <v>0</v>
          </cell>
          <cell r="O654">
            <v>0</v>
          </cell>
          <cell r="P654">
            <v>0</v>
          </cell>
          <cell r="Q654">
            <v>0</v>
          </cell>
          <cell r="R654">
            <v>0</v>
          </cell>
          <cell r="S654">
            <v>0</v>
          </cell>
          <cell r="T654">
            <v>0</v>
          </cell>
          <cell r="U654">
            <v>0</v>
          </cell>
          <cell r="V654">
            <v>502.11720783064243</v>
          </cell>
          <cell r="W654">
            <v>916.3839999999999</v>
          </cell>
          <cell r="X654">
            <v>654.55999999999995</v>
          </cell>
          <cell r="Y654">
            <v>545.17879216935739</v>
          </cell>
        </row>
        <row r="655">
          <cell r="J655">
            <v>0</v>
          </cell>
          <cell r="K655">
            <v>0</v>
          </cell>
          <cell r="L655">
            <v>0</v>
          </cell>
          <cell r="M655">
            <v>0</v>
          </cell>
          <cell r="N655">
            <v>0</v>
          </cell>
          <cell r="O655">
            <v>0</v>
          </cell>
          <cell r="P655">
            <v>0</v>
          </cell>
          <cell r="Q655">
            <v>0</v>
          </cell>
          <cell r="R655">
            <v>0</v>
          </cell>
          <cell r="S655">
            <v>0</v>
          </cell>
          <cell r="T655">
            <v>0</v>
          </cell>
          <cell r="U655">
            <v>0</v>
          </cell>
          <cell r="V655">
            <v>1354.3207109293887</v>
          </cell>
          <cell r="W655">
            <v>2471.6895</v>
          </cell>
          <cell r="X655">
            <v>1765.4925000000001</v>
          </cell>
          <cell r="Y655">
            <v>1470.4672890706115</v>
          </cell>
        </row>
        <row r="656">
          <cell r="J656">
            <v>0</v>
          </cell>
          <cell r="K656">
            <v>0</v>
          </cell>
          <cell r="L656">
            <v>0</v>
          </cell>
          <cell r="M656">
            <v>0</v>
          </cell>
          <cell r="N656">
            <v>0</v>
          </cell>
          <cell r="O656">
            <v>0</v>
          </cell>
          <cell r="P656">
            <v>0</v>
          </cell>
          <cell r="Q656">
            <v>0</v>
          </cell>
          <cell r="R656">
            <v>0</v>
          </cell>
          <cell r="S656">
            <v>0</v>
          </cell>
          <cell r="T656">
            <v>0</v>
          </cell>
          <cell r="U656">
            <v>0</v>
          </cell>
          <cell r="V656">
            <v>135.77400879978089</v>
          </cell>
          <cell r="W656">
            <v>247.79299999999998</v>
          </cell>
          <cell r="X656">
            <v>176.995</v>
          </cell>
          <cell r="Y656">
            <v>147.41799120021912</v>
          </cell>
        </row>
        <row r="657">
          <cell r="J657">
            <v>0</v>
          </cell>
          <cell r="K657">
            <v>0</v>
          </cell>
          <cell r="L657">
            <v>0</v>
          </cell>
          <cell r="M657">
            <v>0</v>
          </cell>
          <cell r="N657">
            <v>0</v>
          </cell>
          <cell r="O657">
            <v>0</v>
          </cell>
          <cell r="P657">
            <v>0</v>
          </cell>
          <cell r="Q657">
            <v>0</v>
          </cell>
          <cell r="R657">
            <v>0</v>
          </cell>
          <cell r="S657">
            <v>0</v>
          </cell>
          <cell r="T657">
            <v>0</v>
          </cell>
          <cell r="U657">
            <v>0</v>
          </cell>
          <cell r="V657">
            <v>232.36038382721333</v>
          </cell>
          <cell r="W657">
            <v>424.06699999999995</v>
          </cell>
          <cell r="X657">
            <v>302.90499999999997</v>
          </cell>
          <cell r="Y657">
            <v>252.28761617278664</v>
          </cell>
        </row>
        <row r="658">
          <cell r="J658">
            <v>0</v>
          </cell>
          <cell r="K658">
            <v>0</v>
          </cell>
          <cell r="L658">
            <v>0</v>
          </cell>
          <cell r="M658">
            <v>0</v>
          </cell>
          <cell r="N658">
            <v>0</v>
          </cell>
          <cell r="O658">
            <v>0</v>
          </cell>
          <cell r="P658">
            <v>0</v>
          </cell>
          <cell r="Q658">
            <v>0</v>
          </cell>
          <cell r="R658">
            <v>0</v>
          </cell>
          <cell r="S658">
            <v>0</v>
          </cell>
          <cell r="T658">
            <v>0</v>
          </cell>
          <cell r="U658">
            <v>0</v>
          </cell>
          <cell r="V658">
            <v>64.866522693349935</v>
          </cell>
          <cell r="W658">
            <v>118.384</v>
          </cell>
          <cell r="X658">
            <v>84.56</v>
          </cell>
          <cell r="Y658">
            <v>70.429477306650071</v>
          </cell>
        </row>
        <row r="659">
          <cell r="J659">
            <v>0</v>
          </cell>
          <cell r="K659">
            <v>0</v>
          </cell>
          <cell r="L659">
            <v>0</v>
          </cell>
          <cell r="M659">
            <v>0</v>
          </cell>
          <cell r="N659">
            <v>0</v>
          </cell>
          <cell r="O659">
            <v>0</v>
          </cell>
          <cell r="P659">
            <v>0</v>
          </cell>
          <cell r="Q659">
            <v>0</v>
          </cell>
          <cell r="R659">
            <v>0</v>
          </cell>
          <cell r="S659">
            <v>0</v>
          </cell>
          <cell r="T659">
            <v>0</v>
          </cell>
          <cell r="U659">
            <v>0</v>
          </cell>
          <cell r="V659">
            <v>1049.2482230364715</v>
          </cell>
          <cell r="W659">
            <v>1914.92</v>
          </cell>
          <cell r="X659">
            <v>1367.8</v>
          </cell>
          <cell r="Y659">
            <v>1139.2317769635285</v>
          </cell>
        </row>
        <row r="660">
          <cell r="J660">
            <v>0</v>
          </cell>
          <cell r="K660">
            <v>0</v>
          </cell>
          <cell r="L660">
            <v>0</v>
          </cell>
          <cell r="M660">
            <v>0</v>
          </cell>
          <cell r="N660">
            <v>0</v>
          </cell>
          <cell r="O660">
            <v>0</v>
          </cell>
          <cell r="P660">
            <v>0</v>
          </cell>
          <cell r="Q660">
            <v>0</v>
          </cell>
          <cell r="R660">
            <v>0</v>
          </cell>
          <cell r="S660">
            <v>0</v>
          </cell>
          <cell r="T660">
            <v>0</v>
          </cell>
          <cell r="U660">
            <v>0</v>
          </cell>
          <cell r="V660">
            <v>91.586758640796845</v>
          </cell>
          <cell r="W660">
            <v>167.14949999999996</v>
          </cell>
          <cell r="X660">
            <v>119.3925</v>
          </cell>
          <cell r="Y660">
            <v>99.441241359203147</v>
          </cell>
        </row>
        <row r="661">
          <cell r="J661">
            <v>0</v>
          </cell>
          <cell r="K661">
            <v>0</v>
          </cell>
          <cell r="L661">
            <v>0</v>
          </cell>
          <cell r="M661">
            <v>0</v>
          </cell>
          <cell r="N661">
            <v>0</v>
          </cell>
          <cell r="O661">
            <v>0</v>
          </cell>
          <cell r="P661">
            <v>0</v>
          </cell>
          <cell r="Q661">
            <v>0</v>
          </cell>
          <cell r="R661">
            <v>0</v>
          </cell>
          <cell r="S661">
            <v>0</v>
          </cell>
          <cell r="T661">
            <v>0</v>
          </cell>
          <cell r="U661">
            <v>0</v>
          </cell>
          <cell r="V661">
            <v>306.37465111751453</v>
          </cell>
          <cell r="W661">
            <v>559.14599999999996</v>
          </cell>
          <cell r="X661">
            <v>399.39</v>
          </cell>
          <cell r="Y661">
            <v>332.64934888248547</v>
          </cell>
        </row>
        <row r="662">
          <cell r="J662">
            <v>0</v>
          </cell>
          <cell r="K662">
            <v>0</v>
          </cell>
          <cell r="L662">
            <v>0</v>
          </cell>
          <cell r="M662">
            <v>0</v>
          </cell>
          <cell r="N662">
            <v>0</v>
          </cell>
          <cell r="O662">
            <v>0</v>
          </cell>
          <cell r="P662">
            <v>0</v>
          </cell>
          <cell r="Q662">
            <v>0</v>
          </cell>
          <cell r="R662">
            <v>0</v>
          </cell>
          <cell r="S662">
            <v>0</v>
          </cell>
          <cell r="T662">
            <v>0</v>
          </cell>
          <cell r="U662">
            <v>0</v>
          </cell>
          <cell r="V662">
            <v>885.60140082535111</v>
          </cell>
          <cell r="W662">
            <v>1616.258</v>
          </cell>
          <cell r="X662">
            <v>1154.47</v>
          </cell>
          <cell r="Y662">
            <v>961.55059917464882</v>
          </cell>
        </row>
        <row r="663">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row>
        <row r="666">
          <cell r="J666">
            <v>0</v>
          </cell>
          <cell r="K666">
            <v>0</v>
          </cell>
          <cell r="L666">
            <v>0</v>
          </cell>
          <cell r="M666">
            <v>0</v>
          </cell>
          <cell r="N666">
            <v>0</v>
          </cell>
          <cell r="O666">
            <v>0</v>
          </cell>
          <cell r="P666">
            <v>0</v>
          </cell>
          <cell r="Q666">
            <v>0</v>
          </cell>
          <cell r="R666">
            <v>17511.018934093623</v>
          </cell>
          <cell r="S666">
            <v>139479.83820876354</v>
          </cell>
          <cell r="T666">
            <v>0</v>
          </cell>
          <cell r="U666">
            <v>0</v>
          </cell>
          <cell r="V666">
            <v>62796.342857142874</v>
          </cell>
          <cell r="W666">
            <v>0</v>
          </cell>
          <cell r="X666">
            <v>0</v>
          </cell>
          <cell r="Y666">
            <v>0</v>
          </cell>
        </row>
        <row r="667">
          <cell r="J667">
            <v>0</v>
          </cell>
          <cell r="K667">
            <v>0</v>
          </cell>
          <cell r="L667">
            <v>0</v>
          </cell>
          <cell r="M667">
            <v>0</v>
          </cell>
          <cell r="N667">
            <v>0</v>
          </cell>
          <cell r="O667">
            <v>0</v>
          </cell>
          <cell r="P667">
            <v>0</v>
          </cell>
          <cell r="Q667">
            <v>0</v>
          </cell>
          <cell r="R667">
            <v>0</v>
          </cell>
          <cell r="S667">
            <v>0</v>
          </cell>
          <cell r="T667">
            <v>0</v>
          </cell>
          <cell r="U667">
            <v>2041.2999999999997</v>
          </cell>
          <cell r="V667">
            <v>922.62465574253679</v>
          </cell>
          <cell r="W667">
            <v>3159.9753442574629</v>
          </cell>
          <cell r="X667">
            <v>4082.5999999999995</v>
          </cell>
          <cell r="Y667">
            <v>2041.2999999999997</v>
          </cell>
        </row>
        <row r="668">
          <cell r="J668">
            <v>0</v>
          </cell>
          <cell r="K668">
            <v>0</v>
          </cell>
          <cell r="L668">
            <v>0</v>
          </cell>
          <cell r="M668">
            <v>0</v>
          </cell>
          <cell r="N668">
            <v>0</v>
          </cell>
          <cell r="O668">
            <v>0</v>
          </cell>
          <cell r="P668">
            <v>0</v>
          </cell>
          <cell r="Q668">
            <v>0</v>
          </cell>
          <cell r="R668">
            <v>0</v>
          </cell>
          <cell r="S668">
            <v>0</v>
          </cell>
          <cell r="T668">
            <v>0</v>
          </cell>
          <cell r="U668">
            <v>619.30166666666662</v>
          </cell>
          <cell r="V668">
            <v>279.91132465052306</v>
          </cell>
          <cell r="W668">
            <v>958.6920086828103</v>
          </cell>
          <cell r="X668">
            <v>1238.6033333333332</v>
          </cell>
          <cell r="Y668">
            <v>619.30166666666662</v>
          </cell>
        </row>
        <row r="669">
          <cell r="J669">
            <v>0</v>
          </cell>
          <cell r="K669">
            <v>0</v>
          </cell>
          <cell r="L669">
            <v>0</v>
          </cell>
          <cell r="M669">
            <v>0</v>
          </cell>
          <cell r="N669">
            <v>0</v>
          </cell>
          <cell r="O669">
            <v>0</v>
          </cell>
          <cell r="P669">
            <v>0</v>
          </cell>
          <cell r="Q669">
            <v>0</v>
          </cell>
          <cell r="R669">
            <v>0</v>
          </cell>
          <cell r="S669">
            <v>0</v>
          </cell>
          <cell r="T669">
            <v>0</v>
          </cell>
          <cell r="U669">
            <v>219.89333333333329</v>
          </cell>
          <cell r="V669">
            <v>99.387160616639179</v>
          </cell>
          <cell r="W669">
            <v>340.39950605002747</v>
          </cell>
          <cell r="X669">
            <v>439.78666666666658</v>
          </cell>
          <cell r="Y669">
            <v>219.89333333333329</v>
          </cell>
        </row>
        <row r="670">
          <cell r="J670">
            <v>0</v>
          </cell>
          <cell r="K670">
            <v>0</v>
          </cell>
          <cell r="L670">
            <v>0</v>
          </cell>
          <cell r="M670">
            <v>0</v>
          </cell>
          <cell r="N670">
            <v>0</v>
          </cell>
          <cell r="O670">
            <v>0</v>
          </cell>
          <cell r="P670">
            <v>0</v>
          </cell>
          <cell r="Q670">
            <v>0</v>
          </cell>
          <cell r="R670">
            <v>0</v>
          </cell>
          <cell r="S670">
            <v>0</v>
          </cell>
          <cell r="T670">
            <v>0</v>
          </cell>
          <cell r="U670">
            <v>7162.0733333333328</v>
          </cell>
          <cell r="V670">
            <v>3237.1064731149122</v>
          </cell>
          <cell r="W670">
            <v>11087.040193551755</v>
          </cell>
          <cell r="X670">
            <v>14324.146666666666</v>
          </cell>
          <cell r="Y670">
            <v>7162.0733333333328</v>
          </cell>
        </row>
        <row r="671">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40104.82</v>
          </cell>
        </row>
        <row r="672">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2071.44</v>
          </cell>
        </row>
        <row r="673">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1309.8400000000001</v>
          </cell>
        </row>
        <row r="674">
          <cell r="J674">
            <v>0</v>
          </cell>
          <cell r="K674">
            <v>0</v>
          </cell>
          <cell r="L674">
            <v>0</v>
          </cell>
          <cell r="M674">
            <v>0</v>
          </cell>
          <cell r="N674">
            <v>0</v>
          </cell>
          <cell r="O674">
            <v>0</v>
          </cell>
          <cell r="P674">
            <v>0</v>
          </cell>
          <cell r="Q674">
            <v>0</v>
          </cell>
          <cell r="R674">
            <v>0</v>
          </cell>
          <cell r="S674">
            <v>0</v>
          </cell>
          <cell r="T674">
            <v>0</v>
          </cell>
          <cell r="U674">
            <v>0</v>
          </cell>
          <cell r="V674">
            <v>0</v>
          </cell>
          <cell r="W674">
            <v>3451.2053999999998</v>
          </cell>
          <cell r="X674">
            <v>0</v>
          </cell>
          <cell r="Y674">
            <v>0</v>
          </cell>
        </row>
        <row r="675">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17308.98</v>
          </cell>
        </row>
        <row r="676">
          <cell r="J676">
            <v>0</v>
          </cell>
          <cell r="K676">
            <v>0</v>
          </cell>
          <cell r="L676">
            <v>0</v>
          </cell>
          <cell r="M676">
            <v>0</v>
          </cell>
          <cell r="N676">
            <v>0</v>
          </cell>
          <cell r="O676">
            <v>0</v>
          </cell>
          <cell r="P676">
            <v>0</v>
          </cell>
          <cell r="Q676">
            <v>0</v>
          </cell>
          <cell r="R676">
            <v>0</v>
          </cell>
          <cell r="S676">
            <v>0</v>
          </cell>
          <cell r="T676">
            <v>0</v>
          </cell>
          <cell r="U676">
            <v>0</v>
          </cell>
          <cell r="V676">
            <v>0</v>
          </cell>
          <cell r="W676">
            <v>8366.01</v>
          </cell>
          <cell r="X676">
            <v>0</v>
          </cell>
          <cell r="Y676">
            <v>0</v>
          </cell>
        </row>
        <row r="678">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17049.239999999998</v>
          </cell>
        </row>
        <row r="680">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58635.380000000005</v>
          </cell>
        </row>
        <row r="681">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1420.77</v>
          </cell>
        </row>
        <row r="682">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4262.3099999999995</v>
          </cell>
        </row>
        <row r="683">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9069.84</v>
          </cell>
        </row>
        <row r="684">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10339.200000000001</v>
          </cell>
        </row>
        <row r="685">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2343.8999999999996</v>
          </cell>
        </row>
        <row r="686">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366.37</v>
          </cell>
        </row>
        <row r="687">
          <cell r="J687">
            <v>0</v>
          </cell>
          <cell r="K687">
            <v>0</v>
          </cell>
          <cell r="L687">
            <v>0</v>
          </cell>
          <cell r="M687">
            <v>0</v>
          </cell>
          <cell r="N687">
            <v>0</v>
          </cell>
          <cell r="O687">
            <v>0</v>
          </cell>
          <cell r="P687">
            <v>0</v>
          </cell>
          <cell r="Q687">
            <v>0</v>
          </cell>
          <cell r="R687">
            <v>0</v>
          </cell>
          <cell r="S687">
            <v>20914.958610762453</v>
          </cell>
          <cell r="T687">
            <v>6744.5413892375473</v>
          </cell>
          <cell r="U687">
            <v>3951.3580733698655</v>
          </cell>
          <cell r="V687">
            <v>12644.341926630132</v>
          </cell>
          <cell r="W687">
            <v>0</v>
          </cell>
          <cell r="X687">
            <v>0</v>
          </cell>
          <cell r="Y687">
            <v>0</v>
          </cell>
        </row>
        <row r="688">
          <cell r="J688">
            <v>0</v>
          </cell>
          <cell r="K688">
            <v>0</v>
          </cell>
          <cell r="L688">
            <v>0</v>
          </cell>
          <cell r="M688">
            <v>0</v>
          </cell>
          <cell r="N688">
            <v>0</v>
          </cell>
          <cell r="O688">
            <v>0</v>
          </cell>
          <cell r="P688">
            <v>0</v>
          </cell>
          <cell r="Q688">
            <v>0</v>
          </cell>
          <cell r="R688">
            <v>0</v>
          </cell>
          <cell r="S688">
            <v>22821.007054022793</v>
          </cell>
          <cell r="T688">
            <v>15520.867945977216</v>
          </cell>
          <cell r="U688">
            <v>0</v>
          </cell>
          <cell r="V688">
            <v>23005.125000000004</v>
          </cell>
          <cell r="W688">
            <v>0</v>
          </cell>
          <cell r="X688">
            <v>0</v>
          </cell>
          <cell r="Y688">
            <v>0</v>
          </cell>
        </row>
        <row r="689">
          <cell r="J689">
            <v>0</v>
          </cell>
          <cell r="K689">
            <v>0</v>
          </cell>
          <cell r="L689">
            <v>0</v>
          </cell>
          <cell r="M689">
            <v>0</v>
          </cell>
          <cell r="N689">
            <v>0</v>
          </cell>
          <cell r="O689">
            <v>0</v>
          </cell>
          <cell r="P689">
            <v>0</v>
          </cell>
          <cell r="Q689">
            <v>0</v>
          </cell>
          <cell r="R689">
            <v>0</v>
          </cell>
          <cell r="S689">
            <v>3482.8382568550774</v>
          </cell>
          <cell r="T689">
            <v>2368.7242431449245</v>
          </cell>
          <cell r="U689">
            <v>0</v>
          </cell>
          <cell r="V689">
            <v>3510.9375000000009</v>
          </cell>
          <cell r="W689">
            <v>0</v>
          </cell>
          <cell r="X689">
            <v>0</v>
          </cell>
          <cell r="Y689">
            <v>0</v>
          </cell>
        </row>
        <row r="690">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14424.15</v>
          </cell>
        </row>
        <row r="692">
          <cell r="J692">
            <v>0</v>
          </cell>
          <cell r="K692">
            <v>0</v>
          </cell>
          <cell r="L692">
            <v>0</v>
          </cell>
          <cell r="M692">
            <v>0</v>
          </cell>
          <cell r="N692">
            <v>0</v>
          </cell>
          <cell r="O692">
            <v>0</v>
          </cell>
          <cell r="P692">
            <v>0</v>
          </cell>
          <cell r="Q692">
            <v>0</v>
          </cell>
          <cell r="R692">
            <v>0</v>
          </cell>
          <cell r="S692">
            <v>0</v>
          </cell>
          <cell r="T692">
            <v>0</v>
          </cell>
          <cell r="U692">
            <v>50269.452910611995</v>
          </cell>
          <cell r="V692">
            <v>25743.098269387992</v>
          </cell>
          <cell r="W692">
            <v>37600.694380611996</v>
          </cell>
          <cell r="X692">
            <v>38411.856799387991</v>
          </cell>
          <cell r="Y692">
            <v>25337.517059999995</v>
          </cell>
        </row>
        <row r="693">
          <cell r="J693">
            <v>0</v>
          </cell>
          <cell r="K693">
            <v>0</v>
          </cell>
          <cell r="L693">
            <v>0</v>
          </cell>
          <cell r="M693">
            <v>0</v>
          </cell>
          <cell r="N693">
            <v>0</v>
          </cell>
          <cell r="O693">
            <v>0</v>
          </cell>
          <cell r="P693">
            <v>0</v>
          </cell>
          <cell r="Q693">
            <v>0</v>
          </cell>
          <cell r="R693">
            <v>0</v>
          </cell>
          <cell r="S693">
            <v>0</v>
          </cell>
          <cell r="T693">
            <v>0</v>
          </cell>
          <cell r="U693">
            <v>7846.5072458188888</v>
          </cell>
          <cell r="V693">
            <v>4018.2137541811076</v>
          </cell>
          <cell r="W693">
            <v>5869.053745818891</v>
          </cell>
          <cell r="X693">
            <v>5995.6672541811058</v>
          </cell>
          <cell r="Y693">
            <v>3954.9069999999988</v>
          </cell>
        </row>
        <row r="694">
          <cell r="J694">
            <v>0</v>
          </cell>
          <cell r="K694">
            <v>0</v>
          </cell>
          <cell r="L694">
            <v>0</v>
          </cell>
          <cell r="M694">
            <v>0</v>
          </cell>
          <cell r="N694">
            <v>0</v>
          </cell>
          <cell r="O694">
            <v>0</v>
          </cell>
          <cell r="P694">
            <v>0</v>
          </cell>
          <cell r="Q694">
            <v>0</v>
          </cell>
          <cell r="R694">
            <v>0</v>
          </cell>
          <cell r="S694">
            <v>0</v>
          </cell>
          <cell r="T694">
            <v>0</v>
          </cell>
          <cell r="U694">
            <v>32873.074400986072</v>
          </cell>
          <cell r="V694">
            <v>16834.374271513923</v>
          </cell>
          <cell r="W694">
            <v>24588.499622236075</v>
          </cell>
          <cell r="X694">
            <v>25118.949050263924</v>
          </cell>
          <cell r="Y694">
            <v>16569.149557500001</v>
          </cell>
        </row>
        <row r="695">
          <cell r="J695">
            <v>0</v>
          </cell>
          <cell r="K695">
            <v>0</v>
          </cell>
          <cell r="L695">
            <v>0</v>
          </cell>
          <cell r="M695">
            <v>0</v>
          </cell>
          <cell r="N695">
            <v>0</v>
          </cell>
          <cell r="O695">
            <v>0</v>
          </cell>
          <cell r="P695">
            <v>0</v>
          </cell>
          <cell r="Q695">
            <v>0</v>
          </cell>
          <cell r="R695">
            <v>0</v>
          </cell>
          <cell r="S695">
            <v>0</v>
          </cell>
          <cell r="T695">
            <v>0</v>
          </cell>
          <cell r="U695">
            <v>3062.2159988693334</v>
          </cell>
          <cell r="V695">
            <v>1568.1676011306658</v>
          </cell>
          <cell r="W695">
            <v>2290.4853988693344</v>
          </cell>
          <cell r="X695">
            <v>2339.8982011306653</v>
          </cell>
          <cell r="Y695">
            <v>1543.4611999999997</v>
          </cell>
        </row>
        <row r="696">
          <cell r="J696">
            <v>0</v>
          </cell>
          <cell r="K696">
            <v>0</v>
          </cell>
          <cell r="L696">
            <v>0</v>
          </cell>
          <cell r="M696">
            <v>0</v>
          </cell>
          <cell r="N696">
            <v>0</v>
          </cell>
          <cell r="O696">
            <v>0</v>
          </cell>
          <cell r="P696">
            <v>0</v>
          </cell>
          <cell r="Q696">
            <v>0</v>
          </cell>
          <cell r="R696">
            <v>0</v>
          </cell>
          <cell r="S696">
            <v>0</v>
          </cell>
          <cell r="T696">
            <v>0</v>
          </cell>
          <cell r="U696">
            <v>6885.1447997953619</v>
          </cell>
          <cell r="V696">
            <v>3525.8979144903506</v>
          </cell>
          <cell r="W696">
            <v>5149.9710140810766</v>
          </cell>
          <cell r="X696">
            <v>5261.0717002046358</v>
          </cell>
          <cell r="Y696">
            <v>3470.3475714285714</v>
          </cell>
        </row>
        <row r="697">
          <cell r="J697">
            <v>0</v>
          </cell>
          <cell r="K697">
            <v>0</v>
          </cell>
          <cell r="L697">
            <v>0</v>
          </cell>
          <cell r="M697">
            <v>0</v>
          </cell>
          <cell r="N697">
            <v>0</v>
          </cell>
          <cell r="O697">
            <v>0</v>
          </cell>
          <cell r="P697">
            <v>0</v>
          </cell>
          <cell r="Q697">
            <v>0</v>
          </cell>
          <cell r="R697">
            <v>0</v>
          </cell>
          <cell r="S697">
            <v>0</v>
          </cell>
          <cell r="T697">
            <v>0</v>
          </cell>
          <cell r="U697">
            <v>2998.5125957018604</v>
          </cell>
          <cell r="V697">
            <v>1535.5449471552824</v>
          </cell>
          <cell r="W697">
            <v>2242.8363385590033</v>
          </cell>
          <cell r="X697">
            <v>2291.2212042981396</v>
          </cell>
          <cell r="Y697">
            <v>1511.3525142857145</v>
          </cell>
        </row>
        <row r="698">
          <cell r="J698">
            <v>0</v>
          </cell>
          <cell r="K698">
            <v>0</v>
          </cell>
          <cell r="L698">
            <v>0</v>
          </cell>
          <cell r="M698">
            <v>0</v>
          </cell>
          <cell r="N698">
            <v>0</v>
          </cell>
          <cell r="O698">
            <v>0</v>
          </cell>
          <cell r="P698">
            <v>0</v>
          </cell>
          <cell r="Q698">
            <v>0</v>
          </cell>
          <cell r="R698">
            <v>0</v>
          </cell>
          <cell r="S698">
            <v>0</v>
          </cell>
          <cell r="T698">
            <v>0</v>
          </cell>
          <cell r="U698">
            <v>0</v>
          </cell>
          <cell r="V698">
            <v>9742.1044310000016</v>
          </cell>
          <cell r="W698">
            <v>9742.1044310000016</v>
          </cell>
          <cell r="X698">
            <v>11690.524012237736</v>
          </cell>
          <cell r="Y698">
            <v>46762.102573762269</v>
          </cell>
        </row>
        <row r="699">
          <cell r="J699">
            <v>0</v>
          </cell>
          <cell r="K699">
            <v>0</v>
          </cell>
          <cell r="L699">
            <v>0</v>
          </cell>
          <cell r="M699">
            <v>0</v>
          </cell>
          <cell r="N699">
            <v>0</v>
          </cell>
          <cell r="O699">
            <v>0</v>
          </cell>
          <cell r="P699">
            <v>0</v>
          </cell>
          <cell r="Q699">
            <v>0</v>
          </cell>
          <cell r="R699">
            <v>0</v>
          </cell>
          <cell r="S699">
            <v>0</v>
          </cell>
          <cell r="T699">
            <v>0</v>
          </cell>
          <cell r="U699">
            <v>0</v>
          </cell>
          <cell r="V699">
            <v>2581.7414772500001</v>
          </cell>
          <cell r="W699">
            <v>2581.7414772500001</v>
          </cell>
          <cell r="X699">
            <v>3098.0894268737743</v>
          </cell>
          <cell r="Y699">
            <v>12392.359436626224</v>
          </cell>
        </row>
        <row r="700">
          <cell r="J700">
            <v>0</v>
          </cell>
          <cell r="K700">
            <v>0</v>
          </cell>
          <cell r="L700">
            <v>0</v>
          </cell>
          <cell r="M700">
            <v>0</v>
          </cell>
          <cell r="N700">
            <v>0</v>
          </cell>
          <cell r="O700">
            <v>0</v>
          </cell>
          <cell r="P700">
            <v>0</v>
          </cell>
          <cell r="Q700">
            <v>0</v>
          </cell>
          <cell r="R700">
            <v>0</v>
          </cell>
          <cell r="S700">
            <v>0</v>
          </cell>
          <cell r="T700">
            <v>0</v>
          </cell>
          <cell r="U700">
            <v>0</v>
          </cell>
          <cell r="V700">
            <v>1126.5340125</v>
          </cell>
          <cell r="W700">
            <v>1126.5340125</v>
          </cell>
          <cell r="X700">
            <v>1351.840664099916</v>
          </cell>
          <cell r="Y700">
            <v>5407.3634109000841</v>
          </cell>
        </row>
        <row r="701">
          <cell r="J701">
            <v>0</v>
          </cell>
          <cell r="K701">
            <v>0</v>
          </cell>
          <cell r="L701">
            <v>0</v>
          </cell>
          <cell r="M701">
            <v>0</v>
          </cell>
          <cell r="N701">
            <v>0</v>
          </cell>
          <cell r="O701">
            <v>0</v>
          </cell>
          <cell r="P701">
            <v>0</v>
          </cell>
          <cell r="Q701">
            <v>0</v>
          </cell>
          <cell r="R701">
            <v>0</v>
          </cell>
          <cell r="S701">
            <v>0</v>
          </cell>
          <cell r="T701">
            <v>0</v>
          </cell>
          <cell r="U701">
            <v>2342.6782999999996</v>
          </cell>
          <cell r="V701">
            <v>3982.5531099999994</v>
          </cell>
          <cell r="W701">
            <v>4685.3565999999992</v>
          </cell>
          <cell r="X701">
            <v>3045.4817899999994</v>
          </cell>
          <cell r="Y701">
            <v>0</v>
          </cell>
        </row>
        <row r="702">
          <cell r="J702">
            <v>0</v>
          </cell>
          <cell r="K702">
            <v>0</v>
          </cell>
          <cell r="L702">
            <v>0</v>
          </cell>
          <cell r="M702">
            <v>0</v>
          </cell>
          <cell r="N702">
            <v>0</v>
          </cell>
          <cell r="O702">
            <v>0</v>
          </cell>
          <cell r="P702">
            <v>0</v>
          </cell>
          <cell r="Q702">
            <v>0</v>
          </cell>
          <cell r="R702">
            <v>0</v>
          </cell>
          <cell r="S702">
            <v>0</v>
          </cell>
          <cell r="T702">
            <v>0</v>
          </cell>
          <cell r="U702">
            <v>0</v>
          </cell>
          <cell r="V702">
            <v>9020.4714000000004</v>
          </cell>
          <cell r="W702">
            <v>11275.589250000001</v>
          </cell>
          <cell r="X702">
            <v>13530.7071</v>
          </cell>
          <cell r="Y702">
            <v>2255.1178500000001</v>
          </cell>
        </row>
        <row r="703">
          <cell r="J703">
            <v>0</v>
          </cell>
          <cell r="K703">
            <v>0</v>
          </cell>
          <cell r="L703">
            <v>0</v>
          </cell>
          <cell r="M703">
            <v>0</v>
          </cell>
          <cell r="N703">
            <v>0</v>
          </cell>
          <cell r="O703">
            <v>0</v>
          </cell>
          <cell r="P703">
            <v>0</v>
          </cell>
          <cell r="Q703">
            <v>0</v>
          </cell>
          <cell r="R703">
            <v>0</v>
          </cell>
          <cell r="S703">
            <v>0</v>
          </cell>
          <cell r="T703">
            <v>0</v>
          </cell>
          <cell r="U703">
            <v>2989.5388499999999</v>
          </cell>
          <cell r="V703">
            <v>2989.5388499999999</v>
          </cell>
          <cell r="W703">
            <v>0</v>
          </cell>
          <cell r="X703">
            <v>4882.9130237565951</v>
          </cell>
          <cell r="Y703">
            <v>13054.320076243406</v>
          </cell>
        </row>
        <row r="704">
          <cell r="J704">
            <v>0</v>
          </cell>
          <cell r="K704">
            <v>0</v>
          </cell>
          <cell r="L704">
            <v>0</v>
          </cell>
          <cell r="M704">
            <v>0</v>
          </cell>
          <cell r="N704">
            <v>0</v>
          </cell>
          <cell r="O704">
            <v>0</v>
          </cell>
          <cell r="P704">
            <v>0</v>
          </cell>
          <cell r="Q704">
            <v>0</v>
          </cell>
          <cell r="R704">
            <v>0</v>
          </cell>
          <cell r="S704">
            <v>0</v>
          </cell>
          <cell r="T704">
            <v>0</v>
          </cell>
          <cell r="U704">
            <v>87005.739537176414</v>
          </cell>
          <cell r="V704">
            <v>44555.832085323578</v>
          </cell>
          <cell r="W704">
            <v>65078.810933426415</v>
          </cell>
          <cell r="X704">
            <v>66482.760689073577</v>
          </cell>
          <cell r="Y704">
            <v>43853.857207499997</v>
          </cell>
        </row>
        <row r="706">
          <cell r="J706">
            <v>33916.400000000001</v>
          </cell>
          <cell r="K706">
            <v>0</v>
          </cell>
          <cell r="L706">
            <v>7267.7999999999993</v>
          </cell>
          <cell r="M706">
            <v>412183.63108691556</v>
          </cell>
          <cell r="N706">
            <v>182997.14749999999</v>
          </cell>
          <cell r="O706">
            <v>95623.611413084363</v>
          </cell>
          <cell r="P706">
            <v>0</v>
          </cell>
          <cell r="Q706">
            <v>0</v>
          </cell>
          <cell r="R706">
            <v>0</v>
          </cell>
          <cell r="S706">
            <v>0</v>
          </cell>
          <cell r="T706">
            <v>0</v>
          </cell>
          <cell r="U706">
            <v>0</v>
          </cell>
          <cell r="V706">
            <v>0</v>
          </cell>
          <cell r="W706">
            <v>0</v>
          </cell>
          <cell r="X706">
            <v>0</v>
          </cell>
          <cell r="Y706">
            <v>0</v>
          </cell>
        </row>
        <row r="707">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row>
        <row r="708">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row>
        <row r="709">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40421.5</v>
          </cell>
        </row>
        <row r="710">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3207.6650385000003</v>
          </cell>
        </row>
        <row r="711">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12566.619000000001</v>
          </cell>
        </row>
        <row r="712">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285080.64749999996</v>
          </cell>
        </row>
        <row r="715">
          <cell r="J715">
            <v>0</v>
          </cell>
          <cell r="K715">
            <v>0</v>
          </cell>
          <cell r="L715">
            <v>0</v>
          </cell>
          <cell r="M715">
            <v>0</v>
          </cell>
          <cell r="N715">
            <v>0</v>
          </cell>
          <cell r="O715">
            <v>0</v>
          </cell>
          <cell r="P715">
            <v>0</v>
          </cell>
          <cell r="Q715">
            <v>0</v>
          </cell>
          <cell r="R715">
            <v>0</v>
          </cell>
          <cell r="S715">
            <v>0</v>
          </cell>
          <cell r="T715">
            <v>0</v>
          </cell>
          <cell r="U715">
            <v>0</v>
          </cell>
          <cell r="V715">
            <v>0</v>
          </cell>
          <cell r="W715">
            <v>7516.6131666666661</v>
          </cell>
          <cell r="X715">
            <v>105232.58433333335</v>
          </cell>
          <cell r="Y715">
            <v>0</v>
          </cell>
        </row>
        <row r="716">
          <cell r="J716">
            <v>0</v>
          </cell>
          <cell r="K716">
            <v>0</v>
          </cell>
          <cell r="L716">
            <v>0</v>
          </cell>
          <cell r="M716">
            <v>0</v>
          </cell>
          <cell r="N716">
            <v>0</v>
          </cell>
          <cell r="O716">
            <v>0</v>
          </cell>
          <cell r="P716">
            <v>0</v>
          </cell>
          <cell r="Q716">
            <v>0</v>
          </cell>
          <cell r="R716">
            <v>0</v>
          </cell>
          <cell r="S716">
            <v>16.537464868573871</v>
          </cell>
          <cell r="T716">
            <v>143.04846908768454</v>
          </cell>
          <cell r="U716">
            <v>133.12600843280001</v>
          </cell>
          <cell r="V716">
            <v>82.325241407864269</v>
          </cell>
          <cell r="W716">
            <v>64.030745008548124</v>
          </cell>
          <cell r="X716">
            <v>146.35597119452919</v>
          </cell>
          <cell r="Y716">
            <v>0</v>
          </cell>
        </row>
        <row r="717">
          <cell r="J717">
            <v>0</v>
          </cell>
          <cell r="K717">
            <v>0</v>
          </cell>
          <cell r="L717">
            <v>0</v>
          </cell>
          <cell r="M717">
            <v>0</v>
          </cell>
          <cell r="N717">
            <v>0</v>
          </cell>
          <cell r="O717">
            <v>0</v>
          </cell>
          <cell r="P717">
            <v>0</v>
          </cell>
          <cell r="Q717">
            <v>0</v>
          </cell>
          <cell r="R717">
            <v>0</v>
          </cell>
          <cell r="S717">
            <v>992.51355420067421</v>
          </cell>
          <cell r="T717">
            <v>8585.2061126359749</v>
          </cell>
          <cell r="U717">
            <v>7989.6990763845906</v>
          </cell>
          <cell r="V717">
            <v>4940.8369783097323</v>
          </cell>
          <cell r="W717">
            <v>3842.8733068584056</v>
          </cell>
          <cell r="X717">
            <v>8783.709371610621</v>
          </cell>
          <cell r="Y717">
            <v>0</v>
          </cell>
        </row>
        <row r="718">
          <cell r="J718">
            <v>0</v>
          </cell>
          <cell r="K718">
            <v>0</v>
          </cell>
          <cell r="L718">
            <v>0</v>
          </cell>
          <cell r="M718">
            <v>0</v>
          </cell>
          <cell r="N718">
            <v>0</v>
          </cell>
          <cell r="O718">
            <v>0</v>
          </cell>
          <cell r="P718">
            <v>0</v>
          </cell>
          <cell r="Q718">
            <v>0</v>
          </cell>
          <cell r="R718">
            <v>0</v>
          </cell>
          <cell r="S718">
            <v>48.815408346995156</v>
          </cell>
          <cell r="T718">
            <v>422.25150513834592</v>
          </cell>
          <cell r="U718">
            <v>392.96231404862647</v>
          </cell>
          <cell r="V718">
            <v>243.00824270996074</v>
          </cell>
          <cell r="W718">
            <v>189.0064159890878</v>
          </cell>
          <cell r="X718">
            <v>432.01461376698376</v>
          </cell>
          <cell r="Y718">
            <v>0</v>
          </cell>
        </row>
        <row r="719">
          <cell r="J719">
            <v>0</v>
          </cell>
          <cell r="K719">
            <v>0</v>
          </cell>
          <cell r="L719">
            <v>0</v>
          </cell>
          <cell r="M719">
            <v>0</v>
          </cell>
          <cell r="N719">
            <v>0</v>
          </cell>
          <cell r="O719">
            <v>0</v>
          </cell>
          <cell r="P719">
            <v>0</v>
          </cell>
          <cell r="Q719">
            <v>0</v>
          </cell>
          <cell r="R719">
            <v>0</v>
          </cell>
          <cell r="S719">
            <v>0</v>
          </cell>
          <cell r="T719">
            <v>0</v>
          </cell>
          <cell r="U719">
            <v>0</v>
          </cell>
          <cell r="V719">
            <v>3248.3271208871051</v>
          </cell>
          <cell r="W719">
            <v>5220.7114505414647</v>
          </cell>
          <cell r="X719">
            <v>4234.5192857142847</v>
          </cell>
          <cell r="Y719">
            <v>7057.5321428571442</v>
          </cell>
        </row>
        <row r="720">
          <cell r="J720">
            <v>0</v>
          </cell>
          <cell r="K720">
            <v>0</v>
          </cell>
          <cell r="L720">
            <v>0</v>
          </cell>
          <cell r="M720">
            <v>0</v>
          </cell>
          <cell r="N720">
            <v>0</v>
          </cell>
          <cell r="O720">
            <v>0</v>
          </cell>
          <cell r="P720">
            <v>0</v>
          </cell>
          <cell r="Q720">
            <v>0</v>
          </cell>
          <cell r="R720">
            <v>27203.814867322071</v>
          </cell>
          <cell r="S720">
            <v>67215.491841939292</v>
          </cell>
          <cell r="T720">
            <v>12514.430790738632</v>
          </cell>
          <cell r="U720">
            <v>0</v>
          </cell>
          <cell r="V720">
            <v>0</v>
          </cell>
          <cell r="W720">
            <v>0</v>
          </cell>
          <cell r="X720">
            <v>0</v>
          </cell>
          <cell r="Y720">
            <v>0</v>
          </cell>
        </row>
        <row r="721">
          <cell r="J721">
            <v>0</v>
          </cell>
          <cell r="K721">
            <v>0</v>
          </cell>
          <cell r="L721">
            <v>0</v>
          </cell>
          <cell r="M721">
            <v>0</v>
          </cell>
          <cell r="N721">
            <v>229.61250000000001</v>
          </cell>
          <cell r="O721">
            <v>459.22500000000002</v>
          </cell>
          <cell r="P721">
            <v>459.22500000000002</v>
          </cell>
          <cell r="Q721">
            <v>459.22500000000002</v>
          </cell>
          <cell r="R721">
            <v>459.22500000000002</v>
          </cell>
          <cell r="S721">
            <v>459.22500000000002</v>
          </cell>
          <cell r="T721">
            <v>459.22500000000002</v>
          </cell>
          <cell r="U721">
            <v>459.22500000000002</v>
          </cell>
          <cell r="V721">
            <v>384.79887931034472</v>
          </cell>
          <cell r="W721">
            <v>229.61250000000001</v>
          </cell>
          <cell r="X721">
            <v>533.65112068965561</v>
          </cell>
          <cell r="Y721">
            <v>0</v>
          </cell>
        </row>
        <row r="722">
          <cell r="J722">
            <v>43272.46</v>
          </cell>
          <cell r="K722">
            <v>0</v>
          </cell>
          <cell r="L722">
            <v>0</v>
          </cell>
          <cell r="N722">
            <v>0</v>
          </cell>
          <cell r="O722">
            <v>0</v>
          </cell>
          <cell r="P722">
            <v>0</v>
          </cell>
          <cell r="Q722">
            <v>0</v>
          </cell>
          <cell r="R722">
            <v>0</v>
          </cell>
          <cell r="S722">
            <v>0</v>
          </cell>
          <cell r="T722">
            <v>0</v>
          </cell>
          <cell r="U722">
            <v>0</v>
          </cell>
          <cell r="V722">
            <v>0</v>
          </cell>
          <cell r="W722">
            <v>0</v>
          </cell>
          <cell r="X722">
            <v>0</v>
          </cell>
          <cell r="Y722">
            <v>0</v>
          </cell>
        </row>
        <row r="723">
          <cell r="J723">
            <v>0</v>
          </cell>
          <cell r="K723">
            <v>281270</v>
          </cell>
          <cell r="L723">
            <v>0</v>
          </cell>
          <cell r="N723">
            <v>0</v>
          </cell>
          <cell r="O723">
            <v>0</v>
          </cell>
          <cell r="P723">
            <v>0</v>
          </cell>
          <cell r="Q723">
            <v>0</v>
          </cell>
          <cell r="R723">
            <v>0</v>
          </cell>
          <cell r="S723">
            <v>0</v>
          </cell>
          <cell r="T723">
            <v>0</v>
          </cell>
          <cell r="U723">
            <v>0</v>
          </cell>
          <cell r="V723">
            <v>0</v>
          </cell>
          <cell r="W723">
            <v>0</v>
          </cell>
          <cell r="X723">
            <v>0</v>
          </cell>
          <cell r="Y723">
            <v>0</v>
          </cell>
        </row>
        <row r="725">
          <cell r="J725">
            <v>0</v>
          </cell>
          <cell r="K725">
            <v>0</v>
          </cell>
          <cell r="L725">
            <v>0</v>
          </cell>
          <cell r="M725">
            <v>0</v>
          </cell>
          <cell r="N725">
            <v>0</v>
          </cell>
          <cell r="O725">
            <v>0</v>
          </cell>
          <cell r="P725">
            <v>0</v>
          </cell>
          <cell r="Q725">
            <v>0</v>
          </cell>
          <cell r="R725">
            <v>0</v>
          </cell>
          <cell r="S725">
            <v>0</v>
          </cell>
          <cell r="T725">
            <v>0</v>
          </cell>
          <cell r="U725">
            <v>12926.695499999998</v>
          </cell>
          <cell r="V725">
            <v>6463.347749999999</v>
          </cell>
          <cell r="W725">
            <v>2523.2643359629574</v>
          </cell>
          <cell r="X725">
            <v>16866.778914037041</v>
          </cell>
          <cell r="Y725">
            <v>6463.3477500000026</v>
          </cell>
        </row>
        <row r="726">
          <cell r="J726">
            <v>0</v>
          </cell>
          <cell r="K726">
            <v>0</v>
          </cell>
          <cell r="L726">
            <v>0</v>
          </cell>
          <cell r="M726">
            <v>0</v>
          </cell>
          <cell r="N726">
            <v>0</v>
          </cell>
          <cell r="O726">
            <v>0</v>
          </cell>
          <cell r="P726">
            <v>0</v>
          </cell>
          <cell r="Q726">
            <v>0</v>
          </cell>
          <cell r="R726">
            <v>0</v>
          </cell>
          <cell r="S726">
            <v>0</v>
          </cell>
          <cell r="T726">
            <v>0</v>
          </cell>
          <cell r="U726">
            <v>16501.089</v>
          </cell>
          <cell r="V726">
            <v>8250.5445</v>
          </cell>
          <cell r="W726">
            <v>3220.9785848402366</v>
          </cell>
          <cell r="X726">
            <v>21530.654915159761</v>
          </cell>
          <cell r="Y726">
            <v>8250.5445000000036</v>
          </cell>
        </row>
        <row r="727">
          <cell r="J727">
            <v>0</v>
          </cell>
          <cell r="K727">
            <v>0</v>
          </cell>
          <cell r="L727">
            <v>0</v>
          </cell>
          <cell r="M727">
            <v>0</v>
          </cell>
          <cell r="N727">
            <v>0</v>
          </cell>
          <cell r="O727">
            <v>0</v>
          </cell>
          <cell r="P727">
            <v>0</v>
          </cell>
          <cell r="Q727">
            <v>0</v>
          </cell>
          <cell r="R727">
            <v>0</v>
          </cell>
          <cell r="S727">
            <v>0</v>
          </cell>
          <cell r="T727">
            <v>0</v>
          </cell>
          <cell r="U727">
            <v>70392.228857142851</v>
          </cell>
          <cell r="V727">
            <v>35196.114428571425</v>
          </cell>
          <cell r="W727">
            <v>13740.418083196209</v>
          </cell>
          <cell r="X727">
            <v>91847.925202518061</v>
          </cell>
          <cell r="Y727">
            <v>35196.11442857144</v>
          </cell>
        </row>
        <row r="728">
          <cell r="J728">
            <v>0</v>
          </cell>
          <cell r="K728">
            <v>0</v>
          </cell>
          <cell r="L728">
            <v>0</v>
          </cell>
          <cell r="M728">
            <v>0</v>
          </cell>
          <cell r="N728">
            <v>0</v>
          </cell>
          <cell r="O728">
            <v>0</v>
          </cell>
          <cell r="P728">
            <v>0</v>
          </cell>
          <cell r="Q728">
            <v>0</v>
          </cell>
          <cell r="R728">
            <v>0</v>
          </cell>
          <cell r="S728">
            <v>0</v>
          </cell>
          <cell r="T728">
            <v>0</v>
          </cell>
          <cell r="U728">
            <v>1377.453888005494</v>
          </cell>
          <cell r="V728">
            <v>1798.0618319945056</v>
          </cell>
          <cell r="W728">
            <v>0</v>
          </cell>
          <cell r="X728">
            <v>2117.0104799999999</v>
          </cell>
          <cell r="Y728">
            <v>2117.0104800000008</v>
          </cell>
        </row>
        <row r="729">
          <cell r="J729">
            <v>0</v>
          </cell>
          <cell r="K729">
            <v>0</v>
          </cell>
          <cell r="L729">
            <v>0</v>
          </cell>
          <cell r="M729">
            <v>0</v>
          </cell>
          <cell r="N729">
            <v>0</v>
          </cell>
          <cell r="O729">
            <v>0</v>
          </cell>
          <cell r="P729">
            <v>0</v>
          </cell>
          <cell r="Q729">
            <v>0</v>
          </cell>
          <cell r="R729">
            <v>0</v>
          </cell>
          <cell r="S729">
            <v>0</v>
          </cell>
          <cell r="T729">
            <v>0</v>
          </cell>
          <cell r="U729">
            <v>537.39190316273482</v>
          </cell>
          <cell r="V729">
            <v>701.48545683726513</v>
          </cell>
          <cell r="W729">
            <v>0</v>
          </cell>
          <cell r="X729">
            <v>825.91823999999986</v>
          </cell>
          <cell r="Y729">
            <v>825.9182400000002</v>
          </cell>
        </row>
        <row r="730">
          <cell r="J730">
            <v>0</v>
          </cell>
          <cell r="K730">
            <v>0</v>
          </cell>
          <cell r="L730">
            <v>0</v>
          </cell>
          <cell r="M730">
            <v>0</v>
          </cell>
          <cell r="N730">
            <v>0</v>
          </cell>
          <cell r="O730">
            <v>0</v>
          </cell>
          <cell r="P730">
            <v>0</v>
          </cell>
          <cell r="Q730">
            <v>0</v>
          </cell>
          <cell r="R730">
            <v>0</v>
          </cell>
          <cell r="S730">
            <v>0</v>
          </cell>
          <cell r="T730">
            <v>0</v>
          </cell>
          <cell r="U730">
            <v>1223.7256418684769</v>
          </cell>
          <cell r="V730">
            <v>1597.3923981315227</v>
          </cell>
          <cell r="W730">
            <v>0</v>
          </cell>
          <cell r="X730">
            <v>1880.7453599999997</v>
          </cell>
          <cell r="Y730">
            <v>1880.7453600000003</v>
          </cell>
        </row>
        <row r="731">
          <cell r="J731">
            <v>0</v>
          </cell>
          <cell r="K731">
            <v>0</v>
          </cell>
          <cell r="L731">
            <v>0</v>
          </cell>
          <cell r="M731">
            <v>0</v>
          </cell>
          <cell r="N731">
            <v>0</v>
          </cell>
          <cell r="O731">
            <v>0</v>
          </cell>
          <cell r="P731">
            <v>0</v>
          </cell>
          <cell r="Q731">
            <v>0</v>
          </cell>
          <cell r="R731">
            <v>0</v>
          </cell>
          <cell r="S731">
            <v>0</v>
          </cell>
          <cell r="T731">
            <v>0</v>
          </cell>
          <cell r="U731">
            <v>81371.043000000005</v>
          </cell>
          <cell r="V731">
            <v>0</v>
          </cell>
          <cell r="W731">
            <v>0</v>
          </cell>
          <cell r="X731">
            <v>0</v>
          </cell>
          <cell r="Y731">
            <v>0</v>
          </cell>
        </row>
        <row r="732">
          <cell r="J732">
            <v>0</v>
          </cell>
          <cell r="K732">
            <v>0</v>
          </cell>
          <cell r="L732">
            <v>0</v>
          </cell>
          <cell r="M732">
            <v>0</v>
          </cell>
          <cell r="N732">
            <v>0</v>
          </cell>
          <cell r="O732">
            <v>0</v>
          </cell>
          <cell r="P732">
            <v>0</v>
          </cell>
          <cell r="Q732">
            <v>0</v>
          </cell>
          <cell r="R732">
            <v>0</v>
          </cell>
          <cell r="S732">
            <v>0</v>
          </cell>
          <cell r="T732">
            <v>0</v>
          </cell>
          <cell r="U732">
            <v>2906.3770312500005</v>
          </cell>
          <cell r="V732">
            <v>415.19671875</v>
          </cell>
          <cell r="W732">
            <v>0</v>
          </cell>
          <cell r="X732">
            <v>0</v>
          </cell>
          <cell r="Y732">
            <v>0</v>
          </cell>
        </row>
        <row r="733">
          <cell r="J733">
            <v>0</v>
          </cell>
          <cell r="K733">
            <v>0</v>
          </cell>
          <cell r="L733">
            <v>0</v>
          </cell>
          <cell r="M733">
            <v>0</v>
          </cell>
          <cell r="N733">
            <v>0</v>
          </cell>
          <cell r="O733">
            <v>0</v>
          </cell>
          <cell r="P733">
            <v>0</v>
          </cell>
          <cell r="Q733">
            <v>0</v>
          </cell>
          <cell r="R733">
            <v>0</v>
          </cell>
          <cell r="S733">
            <v>0</v>
          </cell>
          <cell r="T733">
            <v>0</v>
          </cell>
          <cell r="U733">
            <v>29.183012499999997</v>
          </cell>
          <cell r="V733">
            <v>29.183012499999997</v>
          </cell>
          <cell r="W733">
            <v>35.019611090913372</v>
          </cell>
          <cell r="X733">
            <v>140.07846390908659</v>
          </cell>
          <cell r="Y733">
            <v>0</v>
          </cell>
        </row>
        <row r="735">
          <cell r="J735">
            <v>0</v>
          </cell>
          <cell r="K735">
            <v>0</v>
          </cell>
          <cell r="L735">
            <v>0</v>
          </cell>
          <cell r="M735">
            <v>0</v>
          </cell>
          <cell r="N735">
            <v>0</v>
          </cell>
          <cell r="O735">
            <v>0</v>
          </cell>
          <cell r="P735">
            <v>0</v>
          </cell>
          <cell r="Q735">
            <v>0</v>
          </cell>
          <cell r="R735">
            <v>0</v>
          </cell>
          <cell r="S735">
            <v>0</v>
          </cell>
          <cell r="T735">
            <v>0</v>
          </cell>
          <cell r="U735">
            <v>0</v>
          </cell>
          <cell r="V735">
            <v>0</v>
          </cell>
          <cell r="W735">
            <v>10341.397499999999</v>
          </cell>
          <cell r="X735">
            <v>31024.192499999997</v>
          </cell>
          <cell r="Y735">
            <v>0</v>
          </cell>
        </row>
        <row r="736">
          <cell r="J736">
            <v>0</v>
          </cell>
          <cell r="K736">
            <v>0</v>
          </cell>
          <cell r="L736">
            <v>0</v>
          </cell>
          <cell r="M736">
            <v>0</v>
          </cell>
          <cell r="N736">
            <v>0</v>
          </cell>
          <cell r="O736">
            <v>0</v>
          </cell>
          <cell r="P736">
            <v>0</v>
          </cell>
          <cell r="Q736">
            <v>0</v>
          </cell>
          <cell r="R736">
            <v>0</v>
          </cell>
          <cell r="S736">
            <v>0</v>
          </cell>
          <cell r="T736">
            <v>0</v>
          </cell>
          <cell r="U736">
            <v>0</v>
          </cell>
          <cell r="V736">
            <v>0</v>
          </cell>
          <cell r="W736">
            <v>32310.83</v>
          </cell>
          <cell r="X736">
            <v>96932.49</v>
          </cell>
          <cell r="Y736">
            <v>0</v>
          </cell>
        </row>
        <row r="737">
          <cell r="J737">
            <v>0</v>
          </cell>
          <cell r="K737">
            <v>0</v>
          </cell>
          <cell r="L737">
            <v>0</v>
          </cell>
          <cell r="M737">
            <v>0</v>
          </cell>
          <cell r="N737">
            <v>0</v>
          </cell>
          <cell r="O737">
            <v>0</v>
          </cell>
          <cell r="P737">
            <v>0</v>
          </cell>
          <cell r="Q737">
            <v>0</v>
          </cell>
          <cell r="R737">
            <v>0</v>
          </cell>
          <cell r="S737">
            <v>0</v>
          </cell>
          <cell r="T737">
            <v>0</v>
          </cell>
          <cell r="U737">
            <v>0</v>
          </cell>
          <cell r="V737">
            <v>649.08000000000004</v>
          </cell>
          <cell r="W737">
            <v>811.35</v>
          </cell>
          <cell r="X737">
            <v>973.61999999999989</v>
          </cell>
          <cell r="Y737">
            <v>162.27000000000001</v>
          </cell>
        </row>
        <row r="738">
          <cell r="J738">
            <v>0</v>
          </cell>
          <cell r="K738">
            <v>0</v>
          </cell>
          <cell r="L738">
            <v>0</v>
          </cell>
          <cell r="M738">
            <v>0</v>
          </cell>
          <cell r="N738">
            <v>0</v>
          </cell>
          <cell r="O738">
            <v>0</v>
          </cell>
          <cell r="P738">
            <v>0</v>
          </cell>
          <cell r="Q738">
            <v>0</v>
          </cell>
          <cell r="R738">
            <v>0</v>
          </cell>
          <cell r="S738">
            <v>0</v>
          </cell>
          <cell r="T738">
            <v>0</v>
          </cell>
          <cell r="U738">
            <v>0</v>
          </cell>
          <cell r="V738">
            <v>162.27000000000001</v>
          </cell>
          <cell r="W738">
            <v>202.83750000000001</v>
          </cell>
          <cell r="X738">
            <v>243.40499999999997</v>
          </cell>
          <cell r="Y738">
            <v>40.567500000000003</v>
          </cell>
        </row>
        <row r="739">
          <cell r="J739">
            <v>0</v>
          </cell>
          <cell r="K739">
            <v>0</v>
          </cell>
          <cell r="L739">
            <v>0</v>
          </cell>
          <cell r="M739">
            <v>0</v>
          </cell>
          <cell r="N739">
            <v>0</v>
          </cell>
          <cell r="O739">
            <v>0</v>
          </cell>
          <cell r="P739">
            <v>0</v>
          </cell>
          <cell r="Q739">
            <v>0</v>
          </cell>
          <cell r="R739">
            <v>0</v>
          </cell>
          <cell r="S739">
            <v>0</v>
          </cell>
          <cell r="T739">
            <v>0</v>
          </cell>
          <cell r="U739">
            <v>0</v>
          </cell>
          <cell r="V739">
            <v>3894.52</v>
          </cell>
          <cell r="W739">
            <v>4868.1499999999996</v>
          </cell>
          <cell r="X739">
            <v>5841.7799999999988</v>
          </cell>
          <cell r="Y739">
            <v>973.63</v>
          </cell>
        </row>
        <row r="740">
          <cell r="J740">
            <v>0</v>
          </cell>
          <cell r="K740">
            <v>0</v>
          </cell>
          <cell r="L740">
            <v>0</v>
          </cell>
          <cell r="M740">
            <v>0</v>
          </cell>
          <cell r="N740">
            <v>0</v>
          </cell>
          <cell r="O740">
            <v>0</v>
          </cell>
          <cell r="P740">
            <v>0</v>
          </cell>
          <cell r="Q740">
            <v>0</v>
          </cell>
          <cell r="R740">
            <v>0</v>
          </cell>
          <cell r="S740">
            <v>0</v>
          </cell>
          <cell r="T740">
            <v>0</v>
          </cell>
          <cell r="U740">
            <v>0</v>
          </cell>
          <cell r="V740">
            <v>5841.78</v>
          </cell>
          <cell r="W740">
            <v>7302.2250000000004</v>
          </cell>
          <cell r="X740">
            <v>8762.6699999999983</v>
          </cell>
          <cell r="Y740">
            <v>1460.4449999999999</v>
          </cell>
        </row>
        <row r="741">
          <cell r="J741">
            <v>0</v>
          </cell>
          <cell r="K741">
            <v>0</v>
          </cell>
          <cell r="L741">
            <v>0</v>
          </cell>
          <cell r="M741">
            <v>0</v>
          </cell>
          <cell r="N741">
            <v>0</v>
          </cell>
          <cell r="O741">
            <v>0</v>
          </cell>
          <cell r="P741">
            <v>0</v>
          </cell>
          <cell r="Q741">
            <v>0</v>
          </cell>
          <cell r="R741">
            <v>0</v>
          </cell>
          <cell r="S741">
            <v>0</v>
          </cell>
          <cell r="T741">
            <v>0</v>
          </cell>
          <cell r="U741">
            <v>0</v>
          </cell>
          <cell r="V741">
            <v>3461.7975000000001</v>
          </cell>
          <cell r="W741">
            <v>4327.2468749999998</v>
          </cell>
          <cell r="X741">
            <v>5192.6962499999991</v>
          </cell>
          <cell r="Y741">
            <v>865.44937500000003</v>
          </cell>
        </row>
        <row r="742">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24201.485400000001</v>
          </cell>
          <cell r="Y742">
            <v>72604.456200000015</v>
          </cell>
        </row>
        <row r="743">
          <cell r="J743">
            <v>0</v>
          </cell>
          <cell r="K743">
            <v>0</v>
          </cell>
          <cell r="L743">
            <v>0</v>
          </cell>
          <cell r="M743">
            <v>0</v>
          </cell>
          <cell r="N743">
            <v>0</v>
          </cell>
          <cell r="O743">
            <v>0</v>
          </cell>
          <cell r="P743">
            <v>0</v>
          </cell>
          <cell r="Q743">
            <v>0</v>
          </cell>
          <cell r="R743">
            <v>0</v>
          </cell>
          <cell r="S743">
            <v>0</v>
          </cell>
          <cell r="T743">
            <v>0</v>
          </cell>
          <cell r="U743">
            <v>0</v>
          </cell>
          <cell r="V743">
            <v>1153.93</v>
          </cell>
          <cell r="W743">
            <v>1442.4125000000001</v>
          </cell>
          <cell r="X743">
            <v>1730.8949999999998</v>
          </cell>
          <cell r="Y743">
            <v>288.48250000000002</v>
          </cell>
        </row>
        <row r="744">
          <cell r="J744">
            <v>0</v>
          </cell>
          <cell r="K744">
            <v>0</v>
          </cell>
          <cell r="L744">
            <v>0</v>
          </cell>
          <cell r="M744">
            <v>0</v>
          </cell>
          <cell r="N744">
            <v>0</v>
          </cell>
          <cell r="O744">
            <v>0</v>
          </cell>
          <cell r="P744">
            <v>0</v>
          </cell>
          <cell r="Q744">
            <v>0</v>
          </cell>
          <cell r="R744">
            <v>0</v>
          </cell>
          <cell r="S744">
            <v>0</v>
          </cell>
          <cell r="T744">
            <v>0</v>
          </cell>
          <cell r="U744">
            <v>0</v>
          </cell>
          <cell r="V744">
            <v>1153.93</v>
          </cell>
          <cell r="W744">
            <v>1442.4125000000001</v>
          </cell>
          <cell r="X744">
            <v>1730.8949999999998</v>
          </cell>
          <cell r="Y744">
            <v>288.48250000000002</v>
          </cell>
        </row>
        <row r="745">
          <cell r="J745">
            <v>0</v>
          </cell>
          <cell r="K745">
            <v>0</v>
          </cell>
          <cell r="L745">
            <v>0</v>
          </cell>
          <cell r="M745">
            <v>0</v>
          </cell>
          <cell r="N745">
            <v>0</v>
          </cell>
          <cell r="O745">
            <v>0</v>
          </cell>
          <cell r="P745">
            <v>0</v>
          </cell>
          <cell r="Q745">
            <v>0</v>
          </cell>
          <cell r="R745">
            <v>0</v>
          </cell>
          <cell r="S745">
            <v>0</v>
          </cell>
          <cell r="T745">
            <v>0</v>
          </cell>
          <cell r="U745">
            <v>0</v>
          </cell>
          <cell r="V745">
            <v>793.32749999999999</v>
          </cell>
          <cell r="W745">
            <v>991.65937499999995</v>
          </cell>
          <cell r="X745">
            <v>1189.9912499999998</v>
          </cell>
          <cell r="Y745">
            <v>198.331875</v>
          </cell>
        </row>
        <row r="746">
          <cell r="J746">
            <v>0</v>
          </cell>
          <cell r="K746">
            <v>0</v>
          </cell>
          <cell r="L746">
            <v>0</v>
          </cell>
          <cell r="M746">
            <v>0</v>
          </cell>
          <cell r="N746">
            <v>0</v>
          </cell>
          <cell r="O746">
            <v>0</v>
          </cell>
          <cell r="P746">
            <v>0</v>
          </cell>
          <cell r="Q746">
            <v>0</v>
          </cell>
          <cell r="R746">
            <v>0</v>
          </cell>
          <cell r="S746">
            <v>0</v>
          </cell>
          <cell r="T746">
            <v>0</v>
          </cell>
          <cell r="U746">
            <v>23537.848083333331</v>
          </cell>
          <cell r="V746">
            <v>40014.341741666663</v>
          </cell>
          <cell r="W746">
            <v>47075.696166666661</v>
          </cell>
          <cell r="X746">
            <v>30599.202508333328</v>
          </cell>
          <cell r="Y746">
            <v>0</v>
          </cell>
        </row>
        <row r="747">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51331.385049999997</v>
          </cell>
          <cell r="Y747">
            <v>153994.15515000001</v>
          </cell>
        </row>
        <row r="748">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30048.315499999997</v>
          </cell>
          <cell r="Y748">
            <v>90144.946499999991</v>
          </cell>
        </row>
        <row r="750">
          <cell r="J750">
            <v>0</v>
          </cell>
          <cell r="K750">
            <v>0</v>
          </cell>
          <cell r="L750">
            <v>0</v>
          </cell>
          <cell r="M750">
            <v>0</v>
          </cell>
          <cell r="N750">
            <v>0</v>
          </cell>
          <cell r="O750">
            <v>0</v>
          </cell>
          <cell r="P750">
            <v>0</v>
          </cell>
          <cell r="Q750">
            <v>0</v>
          </cell>
          <cell r="R750">
            <v>0</v>
          </cell>
          <cell r="S750">
            <v>0</v>
          </cell>
          <cell r="T750">
            <v>0</v>
          </cell>
          <cell r="U750">
            <v>0</v>
          </cell>
          <cell r="V750">
            <v>1797.4800336145233</v>
          </cell>
          <cell r="W750">
            <v>4686.3900000000003</v>
          </cell>
          <cell r="X750">
            <v>1562.1299999999997</v>
          </cell>
          <cell r="Y750">
            <v>1326.7799663854769</v>
          </cell>
        </row>
        <row r="751">
          <cell r="J751">
            <v>0</v>
          </cell>
          <cell r="K751">
            <v>0</v>
          </cell>
          <cell r="L751">
            <v>0</v>
          </cell>
          <cell r="M751">
            <v>0</v>
          </cell>
          <cell r="N751">
            <v>0</v>
          </cell>
          <cell r="O751">
            <v>0</v>
          </cell>
          <cell r="P751">
            <v>0</v>
          </cell>
          <cell r="Q751">
            <v>0</v>
          </cell>
          <cell r="R751">
            <v>0</v>
          </cell>
          <cell r="S751">
            <v>0</v>
          </cell>
          <cell r="T751">
            <v>0</v>
          </cell>
          <cell r="U751">
            <v>0</v>
          </cell>
          <cell r="V751">
            <v>887.9544999072084</v>
          </cell>
          <cell r="W751">
            <v>2315.0749999999998</v>
          </cell>
          <cell r="X751">
            <v>771.69166666666649</v>
          </cell>
          <cell r="Y751">
            <v>655.42883342612492</v>
          </cell>
        </row>
        <row r="752">
          <cell r="J752">
            <v>0</v>
          </cell>
          <cell r="K752">
            <v>0</v>
          </cell>
          <cell r="L752">
            <v>0</v>
          </cell>
          <cell r="M752">
            <v>0</v>
          </cell>
          <cell r="N752">
            <v>0</v>
          </cell>
          <cell r="O752">
            <v>0</v>
          </cell>
          <cell r="P752">
            <v>0</v>
          </cell>
          <cell r="Q752">
            <v>0</v>
          </cell>
          <cell r="R752">
            <v>0</v>
          </cell>
          <cell r="S752">
            <v>0</v>
          </cell>
          <cell r="T752">
            <v>0</v>
          </cell>
          <cell r="U752">
            <v>0</v>
          </cell>
          <cell r="V752">
            <v>3496.4942813619887</v>
          </cell>
          <cell r="W752">
            <v>9116.06</v>
          </cell>
          <cell r="X752">
            <v>3038.686666666666</v>
          </cell>
          <cell r="Y752">
            <v>2580.8790519713448</v>
          </cell>
        </row>
        <row r="753">
          <cell r="J753">
            <v>0</v>
          </cell>
          <cell r="K753">
            <v>0</v>
          </cell>
          <cell r="L753">
            <v>0</v>
          </cell>
          <cell r="M753">
            <v>0</v>
          </cell>
          <cell r="N753">
            <v>0</v>
          </cell>
          <cell r="O753">
            <v>0</v>
          </cell>
          <cell r="P753">
            <v>0</v>
          </cell>
          <cell r="Q753">
            <v>0</v>
          </cell>
          <cell r="R753">
            <v>0</v>
          </cell>
          <cell r="S753">
            <v>0</v>
          </cell>
          <cell r="T753">
            <v>0</v>
          </cell>
          <cell r="U753">
            <v>0</v>
          </cell>
          <cell r="V753">
            <v>428.75498103572147</v>
          </cell>
          <cell r="W753">
            <v>1117.8499999999999</v>
          </cell>
          <cell r="X753">
            <v>372.61666666666656</v>
          </cell>
          <cell r="Y753">
            <v>316.47835229761188</v>
          </cell>
        </row>
        <row r="754">
          <cell r="J754">
            <v>0</v>
          </cell>
          <cell r="K754">
            <v>0</v>
          </cell>
          <cell r="L754">
            <v>0</v>
          </cell>
          <cell r="M754">
            <v>0</v>
          </cell>
          <cell r="N754">
            <v>0</v>
          </cell>
          <cell r="O754">
            <v>0</v>
          </cell>
          <cell r="P754">
            <v>0</v>
          </cell>
          <cell r="Q754">
            <v>0</v>
          </cell>
          <cell r="R754">
            <v>0</v>
          </cell>
          <cell r="S754">
            <v>0</v>
          </cell>
          <cell r="T754">
            <v>0</v>
          </cell>
          <cell r="U754">
            <v>0</v>
          </cell>
          <cell r="V754">
            <v>113.41477310672958</v>
          </cell>
          <cell r="W754">
            <v>295.69499999999999</v>
          </cell>
          <cell r="X754">
            <v>98.564999999999969</v>
          </cell>
          <cell r="Y754">
            <v>83.715226893270426</v>
          </cell>
        </row>
        <row r="755">
          <cell r="J755">
            <v>0</v>
          </cell>
          <cell r="K755">
            <v>0</v>
          </cell>
          <cell r="L755">
            <v>0</v>
          </cell>
          <cell r="M755">
            <v>0</v>
          </cell>
          <cell r="N755">
            <v>0</v>
          </cell>
          <cell r="O755">
            <v>0</v>
          </cell>
          <cell r="P755">
            <v>0</v>
          </cell>
          <cell r="Q755">
            <v>0</v>
          </cell>
          <cell r="R755">
            <v>0</v>
          </cell>
          <cell r="S755">
            <v>0</v>
          </cell>
          <cell r="T755">
            <v>0</v>
          </cell>
          <cell r="U755">
            <v>0</v>
          </cell>
          <cell r="V755">
            <v>906.1905383500615</v>
          </cell>
          <cell r="W755">
            <v>2362.62</v>
          </cell>
          <cell r="X755">
            <v>787.53999999999985</v>
          </cell>
          <cell r="Y755">
            <v>668.88946164993854</v>
          </cell>
        </row>
        <row r="756">
          <cell r="J756">
            <v>0</v>
          </cell>
          <cell r="K756">
            <v>0</v>
          </cell>
          <cell r="L756">
            <v>0</v>
          </cell>
          <cell r="M756">
            <v>0</v>
          </cell>
          <cell r="N756">
            <v>0</v>
          </cell>
          <cell r="O756">
            <v>0</v>
          </cell>
          <cell r="P756">
            <v>0</v>
          </cell>
          <cell r="Q756">
            <v>0</v>
          </cell>
          <cell r="R756">
            <v>0</v>
          </cell>
          <cell r="S756">
            <v>0</v>
          </cell>
          <cell r="T756">
            <v>0</v>
          </cell>
          <cell r="U756">
            <v>0</v>
          </cell>
          <cell r="V756">
            <v>1190.5262207237263</v>
          </cell>
          <cell r="W756">
            <v>3103.94</v>
          </cell>
          <cell r="X756">
            <v>1034.6466666666665</v>
          </cell>
          <cell r="Y756">
            <v>878.76711260960724</v>
          </cell>
        </row>
        <row r="757">
          <cell r="J757">
            <v>0</v>
          </cell>
          <cell r="K757">
            <v>0</v>
          </cell>
          <cell r="L757">
            <v>0</v>
          </cell>
          <cell r="M757">
            <v>0</v>
          </cell>
          <cell r="N757">
            <v>0</v>
          </cell>
          <cell r="O757">
            <v>0</v>
          </cell>
          <cell r="P757">
            <v>0</v>
          </cell>
          <cell r="Q757">
            <v>0</v>
          </cell>
          <cell r="R757">
            <v>0</v>
          </cell>
          <cell r="S757">
            <v>0</v>
          </cell>
          <cell r="T757">
            <v>0</v>
          </cell>
          <cell r="U757">
            <v>0</v>
          </cell>
          <cell r="V757">
            <v>2033.1581529035238</v>
          </cell>
          <cell r="W757">
            <v>5300.8499999999995</v>
          </cell>
          <cell r="X757">
            <v>1766.9499999999996</v>
          </cell>
          <cell r="Y757">
            <v>1500.7418470964762</v>
          </cell>
        </row>
        <row r="758">
          <cell r="J758">
            <v>0</v>
          </cell>
          <cell r="K758">
            <v>0</v>
          </cell>
          <cell r="L758">
            <v>0</v>
          </cell>
          <cell r="M758">
            <v>0</v>
          </cell>
          <cell r="N758">
            <v>0</v>
          </cell>
          <cell r="O758">
            <v>0</v>
          </cell>
          <cell r="P758">
            <v>0</v>
          </cell>
          <cell r="Q758">
            <v>0</v>
          </cell>
          <cell r="R758">
            <v>0</v>
          </cell>
          <cell r="S758">
            <v>0</v>
          </cell>
          <cell r="T758">
            <v>0</v>
          </cell>
          <cell r="U758">
            <v>0</v>
          </cell>
          <cell r="V758">
            <v>495.12886793309735</v>
          </cell>
          <cell r="W758">
            <v>1290.9000000000001</v>
          </cell>
          <cell r="X758">
            <v>430.2999999999999</v>
          </cell>
          <cell r="Y758">
            <v>365.47113206690273</v>
          </cell>
        </row>
        <row r="759">
          <cell r="J759">
            <v>0</v>
          </cell>
          <cell r="K759">
            <v>0</v>
          </cell>
          <cell r="L759">
            <v>0</v>
          </cell>
          <cell r="M759">
            <v>0</v>
          </cell>
          <cell r="N759">
            <v>0</v>
          </cell>
          <cell r="O759">
            <v>0</v>
          </cell>
          <cell r="P759">
            <v>0</v>
          </cell>
          <cell r="Q759">
            <v>0</v>
          </cell>
          <cell r="R759">
            <v>0</v>
          </cell>
          <cell r="S759">
            <v>0</v>
          </cell>
          <cell r="T759">
            <v>0</v>
          </cell>
          <cell r="U759">
            <v>0</v>
          </cell>
          <cell r="V759">
            <v>387.15863296279218</v>
          </cell>
          <cell r="W759">
            <v>1009.4</v>
          </cell>
          <cell r="X759">
            <v>336.46666666666658</v>
          </cell>
          <cell r="Y759">
            <v>285.77470037054115</v>
          </cell>
        </row>
        <row r="761">
          <cell r="J761">
            <v>0</v>
          </cell>
          <cell r="K761">
            <v>0</v>
          </cell>
          <cell r="L761">
            <v>0</v>
          </cell>
          <cell r="M761">
            <v>0</v>
          </cell>
          <cell r="N761">
            <v>0</v>
          </cell>
          <cell r="O761">
            <v>0</v>
          </cell>
          <cell r="P761">
            <v>0</v>
          </cell>
          <cell r="Q761">
            <v>0</v>
          </cell>
          <cell r="R761">
            <v>0</v>
          </cell>
          <cell r="S761">
            <v>0</v>
          </cell>
          <cell r="T761">
            <v>0</v>
          </cell>
          <cell r="U761">
            <v>297.94032311649374</v>
          </cell>
          <cell r="V761">
            <v>388.91691974064906</v>
          </cell>
          <cell r="W761">
            <v>457.90482857142854</v>
          </cell>
          <cell r="X761">
            <v>228.95241428571427</v>
          </cell>
          <cell r="Y761">
            <v>228.95241428571427</v>
          </cell>
        </row>
        <row r="762">
          <cell r="J762">
            <v>0</v>
          </cell>
          <cell r="K762">
            <v>0</v>
          </cell>
          <cell r="L762">
            <v>0</v>
          </cell>
          <cell r="M762">
            <v>0</v>
          </cell>
          <cell r="N762">
            <v>0</v>
          </cell>
          <cell r="O762">
            <v>0</v>
          </cell>
          <cell r="P762">
            <v>0</v>
          </cell>
          <cell r="Q762">
            <v>0</v>
          </cell>
          <cell r="R762">
            <v>0</v>
          </cell>
          <cell r="S762">
            <v>0</v>
          </cell>
          <cell r="T762">
            <v>0</v>
          </cell>
          <cell r="U762">
            <v>693.72820622327504</v>
          </cell>
          <cell r="V762">
            <v>905.55932234815327</v>
          </cell>
          <cell r="W762">
            <v>1066.1916857142855</v>
          </cell>
          <cell r="X762">
            <v>533.09584285714277</v>
          </cell>
          <cell r="Y762">
            <v>533.09584285714277</v>
          </cell>
        </row>
        <row r="763">
          <cell r="J763">
            <v>0</v>
          </cell>
          <cell r="K763">
            <v>0</v>
          </cell>
          <cell r="L763">
            <v>0</v>
          </cell>
          <cell r="M763">
            <v>0</v>
          </cell>
          <cell r="N763">
            <v>0</v>
          </cell>
          <cell r="O763">
            <v>0</v>
          </cell>
          <cell r="P763">
            <v>0</v>
          </cell>
          <cell r="Q763">
            <v>0</v>
          </cell>
          <cell r="R763">
            <v>0</v>
          </cell>
          <cell r="S763">
            <v>0</v>
          </cell>
          <cell r="T763">
            <v>0</v>
          </cell>
          <cell r="U763">
            <v>1238.6208203747601</v>
          </cell>
          <cell r="V763">
            <v>1616.8358453395253</v>
          </cell>
          <cell r="W763">
            <v>1903.637777142857</v>
          </cell>
          <cell r="X763">
            <v>951.81888857142849</v>
          </cell>
          <cell r="Y763">
            <v>951.81888857142849</v>
          </cell>
        </row>
        <row r="764">
          <cell r="J764">
            <v>0</v>
          </cell>
          <cell r="K764">
            <v>0</v>
          </cell>
          <cell r="L764">
            <v>0</v>
          </cell>
          <cell r="M764">
            <v>0</v>
          </cell>
          <cell r="N764">
            <v>0</v>
          </cell>
          <cell r="O764">
            <v>0</v>
          </cell>
          <cell r="P764">
            <v>0</v>
          </cell>
          <cell r="Q764">
            <v>0</v>
          </cell>
          <cell r="R764">
            <v>0</v>
          </cell>
          <cell r="S764">
            <v>0</v>
          </cell>
          <cell r="T764">
            <v>0</v>
          </cell>
          <cell r="U764">
            <v>1210.4512758349063</v>
          </cell>
          <cell r="V764">
            <v>1580.0646813079507</v>
          </cell>
          <cell r="W764">
            <v>1860.3439714285712</v>
          </cell>
          <cell r="X764">
            <v>930.1719857142856</v>
          </cell>
          <cell r="Y764">
            <v>930.1719857142856</v>
          </cell>
        </row>
        <row r="765">
          <cell r="J765">
            <v>0</v>
          </cell>
          <cell r="K765">
            <v>0</v>
          </cell>
          <cell r="L765">
            <v>0</v>
          </cell>
          <cell r="M765">
            <v>0</v>
          </cell>
          <cell r="N765">
            <v>0</v>
          </cell>
          <cell r="O765">
            <v>0</v>
          </cell>
          <cell r="P765">
            <v>0</v>
          </cell>
          <cell r="Q765">
            <v>0</v>
          </cell>
          <cell r="R765">
            <v>0</v>
          </cell>
          <cell r="S765">
            <v>0</v>
          </cell>
          <cell r="T765">
            <v>0</v>
          </cell>
          <cell r="U765">
            <v>2258.081950226423</v>
          </cell>
          <cell r="V765">
            <v>2947.5912069164337</v>
          </cell>
          <cell r="W765">
            <v>3470.4487714285715</v>
          </cell>
          <cell r="X765">
            <v>1735.2243857142857</v>
          </cell>
          <cell r="Y765">
            <v>1735.2243857142857</v>
          </cell>
        </row>
        <row r="766">
          <cell r="J766">
            <v>0</v>
          </cell>
          <cell r="K766">
            <v>0</v>
          </cell>
          <cell r="L766">
            <v>0</v>
          </cell>
          <cell r="M766">
            <v>0</v>
          </cell>
          <cell r="N766">
            <v>0</v>
          </cell>
          <cell r="O766">
            <v>0</v>
          </cell>
          <cell r="P766">
            <v>0</v>
          </cell>
          <cell r="Q766">
            <v>0</v>
          </cell>
          <cell r="R766">
            <v>0</v>
          </cell>
          <cell r="S766">
            <v>0</v>
          </cell>
          <cell r="T766">
            <v>0</v>
          </cell>
          <cell r="U766">
            <v>3056.7377776438507</v>
          </cell>
          <cell r="V766">
            <v>3990.1179823561497</v>
          </cell>
          <cell r="W766">
            <v>4697.9038400000009</v>
          </cell>
          <cell r="X766">
            <v>2348.9519200000004</v>
          </cell>
          <cell r="Y766">
            <v>2348.9519200000004</v>
          </cell>
        </row>
        <row r="767">
          <cell r="J767">
            <v>0</v>
          </cell>
          <cell r="K767">
            <v>0</v>
          </cell>
          <cell r="L767">
            <v>0</v>
          </cell>
          <cell r="M767">
            <v>0</v>
          </cell>
          <cell r="N767">
            <v>0</v>
          </cell>
          <cell r="O767">
            <v>0</v>
          </cell>
          <cell r="P767">
            <v>0</v>
          </cell>
          <cell r="Q767">
            <v>0</v>
          </cell>
          <cell r="R767">
            <v>0</v>
          </cell>
          <cell r="S767">
            <v>0</v>
          </cell>
          <cell r="T767">
            <v>0</v>
          </cell>
          <cell r="U767">
            <v>1701.4054423171597</v>
          </cell>
          <cell r="V767">
            <v>2220.9325576828401</v>
          </cell>
          <cell r="W767">
            <v>2614.8919999999998</v>
          </cell>
          <cell r="X767">
            <v>1307.4459999999999</v>
          </cell>
          <cell r="Y767">
            <v>1307.4459999999999</v>
          </cell>
        </row>
        <row r="768">
          <cell r="J768">
            <v>0</v>
          </cell>
          <cell r="K768">
            <v>0</v>
          </cell>
          <cell r="L768">
            <v>0</v>
          </cell>
          <cell r="M768">
            <v>0</v>
          </cell>
          <cell r="N768">
            <v>0</v>
          </cell>
          <cell r="O768">
            <v>0</v>
          </cell>
          <cell r="P768">
            <v>0</v>
          </cell>
          <cell r="Q768">
            <v>0</v>
          </cell>
          <cell r="R768">
            <v>0</v>
          </cell>
          <cell r="S768">
            <v>0</v>
          </cell>
          <cell r="T768">
            <v>0</v>
          </cell>
          <cell r="U768">
            <v>811.68710690162982</v>
          </cell>
          <cell r="V768">
            <v>1059.5371788126556</v>
          </cell>
          <cell r="W768">
            <v>1247.482857142857</v>
          </cell>
          <cell r="X768">
            <v>623.74142857142851</v>
          </cell>
          <cell r="Y768">
            <v>623.74142857142851</v>
          </cell>
        </row>
        <row r="769">
          <cell r="J769">
            <v>0</v>
          </cell>
          <cell r="K769">
            <v>0</v>
          </cell>
          <cell r="L769">
            <v>0</v>
          </cell>
          <cell r="M769">
            <v>0</v>
          </cell>
          <cell r="N769">
            <v>0</v>
          </cell>
          <cell r="O769">
            <v>0</v>
          </cell>
          <cell r="P769">
            <v>0</v>
          </cell>
          <cell r="Q769">
            <v>0</v>
          </cell>
          <cell r="R769">
            <v>0</v>
          </cell>
          <cell r="S769">
            <v>0</v>
          </cell>
          <cell r="T769">
            <v>0</v>
          </cell>
          <cell r="U769">
            <v>419.383786567372</v>
          </cell>
          <cell r="V769">
            <v>547.4433562897708</v>
          </cell>
          <cell r="W769">
            <v>644.55142857142846</v>
          </cell>
          <cell r="X769">
            <v>322.27571428571423</v>
          </cell>
          <cell r="Y769">
            <v>322.27571428571423</v>
          </cell>
        </row>
        <row r="770">
          <cell r="J770">
            <v>0</v>
          </cell>
          <cell r="K770">
            <v>0</v>
          </cell>
          <cell r="L770">
            <v>0</v>
          </cell>
          <cell r="M770">
            <v>0</v>
          </cell>
          <cell r="N770">
            <v>0</v>
          </cell>
          <cell r="O770">
            <v>0</v>
          </cell>
          <cell r="P770">
            <v>0</v>
          </cell>
          <cell r="Q770">
            <v>0</v>
          </cell>
          <cell r="R770">
            <v>0</v>
          </cell>
          <cell r="S770">
            <v>0</v>
          </cell>
          <cell r="T770">
            <v>0</v>
          </cell>
          <cell r="U770">
            <v>2412.2696329161904</v>
          </cell>
          <cell r="V770">
            <v>3148.8603670838088</v>
          </cell>
          <cell r="W770">
            <v>3707.4199999999996</v>
          </cell>
          <cell r="X770">
            <v>1853.7099999999998</v>
          </cell>
          <cell r="Y770">
            <v>1853.7099999999998</v>
          </cell>
        </row>
        <row r="772">
          <cell r="J772">
            <v>0</v>
          </cell>
          <cell r="K772">
            <v>0</v>
          </cell>
          <cell r="L772">
            <v>0</v>
          </cell>
          <cell r="M772">
            <v>0</v>
          </cell>
          <cell r="N772">
            <v>0</v>
          </cell>
          <cell r="O772">
            <v>0</v>
          </cell>
          <cell r="P772">
            <v>0</v>
          </cell>
          <cell r="Q772">
            <v>0</v>
          </cell>
          <cell r="R772">
            <v>0</v>
          </cell>
          <cell r="S772">
            <v>0</v>
          </cell>
          <cell r="T772">
            <v>0</v>
          </cell>
          <cell r="U772">
            <v>2048.422416153735</v>
          </cell>
          <cell r="V772">
            <v>1266.2227616716598</v>
          </cell>
          <cell r="W772">
            <v>1351.3122442104095</v>
          </cell>
          <cell r="X772">
            <v>1020.8755447688491</v>
          </cell>
          <cell r="Y772">
            <v>2675.9270331953476</v>
          </cell>
        </row>
        <row r="773">
          <cell r="J773">
            <v>0</v>
          </cell>
          <cell r="K773">
            <v>0</v>
          </cell>
          <cell r="L773">
            <v>0</v>
          </cell>
          <cell r="M773">
            <v>0</v>
          </cell>
          <cell r="N773">
            <v>0</v>
          </cell>
          <cell r="O773">
            <v>0</v>
          </cell>
          <cell r="P773">
            <v>0</v>
          </cell>
          <cell r="Q773">
            <v>0</v>
          </cell>
          <cell r="R773">
            <v>0</v>
          </cell>
          <cell r="S773">
            <v>0</v>
          </cell>
          <cell r="T773">
            <v>0</v>
          </cell>
          <cell r="U773">
            <v>2217.9150687088413</v>
          </cell>
          <cell r="V773">
            <v>1370.9938542495074</v>
          </cell>
          <cell r="W773">
            <v>1463.1238973612633</v>
          </cell>
          <cell r="X773">
            <v>1105.3458681977472</v>
          </cell>
          <cell r="Y773">
            <v>2897.3413114826417</v>
          </cell>
        </row>
        <row r="775">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8005.4</v>
          </cell>
        </row>
        <row r="776">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5769.66</v>
          </cell>
        </row>
        <row r="777">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9375.7000000000007</v>
          </cell>
        </row>
        <row r="778">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1254.9000000000001</v>
          </cell>
        </row>
        <row r="779">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1413.56</v>
          </cell>
        </row>
        <row r="780">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9476.4</v>
          </cell>
        </row>
        <row r="781">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2048.1</v>
          </cell>
        </row>
        <row r="782">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548.11</v>
          </cell>
        </row>
        <row r="783">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282.60000000000002</v>
          </cell>
        </row>
        <row r="784">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14424.15</v>
          </cell>
        </row>
        <row r="785">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3360.8</v>
          </cell>
        </row>
        <row r="786">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3750.28</v>
          </cell>
        </row>
        <row r="787">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1226.05</v>
          </cell>
        </row>
        <row r="788">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1009.69</v>
          </cell>
        </row>
        <row r="789">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9375.7000000000007</v>
          </cell>
        </row>
        <row r="790">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1153.8</v>
          </cell>
        </row>
        <row r="791">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40387.629999999997</v>
          </cell>
        </row>
        <row r="792">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2560.25</v>
          </cell>
        </row>
        <row r="793">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5300.87</v>
          </cell>
        </row>
        <row r="795">
          <cell r="J795">
            <v>0</v>
          </cell>
          <cell r="K795">
            <v>0</v>
          </cell>
          <cell r="L795">
            <v>0</v>
          </cell>
          <cell r="M795">
            <v>36060.39</v>
          </cell>
          <cell r="N795">
            <v>0</v>
          </cell>
          <cell r="O795">
            <v>0</v>
          </cell>
          <cell r="P795">
            <v>0</v>
          </cell>
          <cell r="Q795">
            <v>0</v>
          </cell>
          <cell r="R795">
            <v>0</v>
          </cell>
          <cell r="S795">
            <v>0</v>
          </cell>
          <cell r="T795">
            <v>0</v>
          </cell>
          <cell r="U795">
            <v>0</v>
          </cell>
          <cell r="V795">
            <v>0</v>
          </cell>
          <cell r="W795">
            <v>0</v>
          </cell>
          <cell r="X795">
            <v>0</v>
          </cell>
          <cell r="Y795">
            <v>0</v>
          </cell>
        </row>
        <row r="797">
          <cell r="J797">
            <v>0</v>
          </cell>
          <cell r="K797">
            <v>0</v>
          </cell>
          <cell r="L797">
            <v>0</v>
          </cell>
          <cell r="M797">
            <v>0</v>
          </cell>
          <cell r="N797">
            <v>0</v>
          </cell>
          <cell r="O797">
            <v>0</v>
          </cell>
          <cell r="P797">
            <v>0</v>
          </cell>
          <cell r="Q797">
            <v>0</v>
          </cell>
          <cell r="R797">
            <v>8935.1859468308703</v>
          </cell>
          <cell r="S797">
            <v>22540.142248499003</v>
          </cell>
          <cell r="T797">
            <v>6416.3718046701279</v>
          </cell>
          <cell r="U797">
            <v>13577.859210541492</v>
          </cell>
          <cell r="V797">
            <v>5367.9907894585103</v>
          </cell>
          <cell r="W797">
            <v>0</v>
          </cell>
          <cell r="X797">
            <v>0</v>
          </cell>
          <cell r="Y797">
            <v>0</v>
          </cell>
        </row>
        <row r="798">
          <cell r="J798">
            <v>0</v>
          </cell>
          <cell r="K798">
            <v>0</v>
          </cell>
          <cell r="L798">
            <v>0</v>
          </cell>
          <cell r="M798">
            <v>0</v>
          </cell>
          <cell r="N798">
            <v>0</v>
          </cell>
          <cell r="O798">
            <v>0</v>
          </cell>
          <cell r="P798">
            <v>0</v>
          </cell>
          <cell r="Q798">
            <v>0</v>
          </cell>
          <cell r="R798">
            <v>3753.1456052576491</v>
          </cell>
          <cell r="S798">
            <v>9467.7868289737107</v>
          </cell>
          <cell r="T798">
            <v>2695.1400657686404</v>
          </cell>
          <cell r="U798">
            <v>5703.2593309292306</v>
          </cell>
          <cell r="V798">
            <v>2254.7769190707695</v>
          </cell>
          <cell r="W798">
            <v>0</v>
          </cell>
          <cell r="X798">
            <v>0</v>
          </cell>
          <cell r="Y798">
            <v>0</v>
          </cell>
        </row>
        <row r="799">
          <cell r="J799">
            <v>0</v>
          </cell>
          <cell r="K799">
            <v>0</v>
          </cell>
          <cell r="L799">
            <v>0</v>
          </cell>
          <cell r="M799">
            <v>0</v>
          </cell>
          <cell r="N799">
            <v>0</v>
          </cell>
          <cell r="O799">
            <v>0</v>
          </cell>
          <cell r="P799">
            <v>0</v>
          </cell>
          <cell r="Q799">
            <v>0</v>
          </cell>
          <cell r="R799">
            <v>1560.4283394309152</v>
          </cell>
          <cell r="S799">
            <v>3936.3788228533526</v>
          </cell>
          <cell r="T799">
            <v>1120.5461710490658</v>
          </cell>
          <cell r="U799">
            <v>2371.2182854400157</v>
          </cell>
          <cell r="V799">
            <v>937.45838122665134</v>
          </cell>
          <cell r="W799">
            <v>0</v>
          </cell>
          <cell r="X799">
            <v>0</v>
          </cell>
          <cell r="Y799">
            <v>0</v>
          </cell>
        </row>
        <row r="800">
          <cell r="J800">
            <v>0</v>
          </cell>
          <cell r="K800">
            <v>0</v>
          </cell>
          <cell r="L800">
            <v>0</v>
          </cell>
          <cell r="M800">
            <v>0</v>
          </cell>
          <cell r="N800">
            <v>0</v>
          </cell>
          <cell r="O800">
            <v>0</v>
          </cell>
          <cell r="P800">
            <v>0</v>
          </cell>
          <cell r="Q800">
            <v>0</v>
          </cell>
          <cell r="R800">
            <v>4564.168551985751</v>
          </cell>
          <cell r="S800">
            <v>11513.695296332691</v>
          </cell>
          <cell r="T800">
            <v>3277.5369850148895</v>
          </cell>
          <cell r="U800">
            <v>6935.6853210227428</v>
          </cell>
          <cell r="V800">
            <v>2742.0150956439243</v>
          </cell>
          <cell r="W800">
            <v>0</v>
          </cell>
          <cell r="X800">
            <v>0</v>
          </cell>
          <cell r="Y800">
            <v>0</v>
          </cell>
        </row>
        <row r="801">
          <cell r="J801">
            <v>0</v>
          </cell>
          <cell r="K801">
            <v>0</v>
          </cell>
          <cell r="L801">
            <v>0</v>
          </cell>
          <cell r="M801">
            <v>0</v>
          </cell>
          <cell r="N801">
            <v>0</v>
          </cell>
          <cell r="O801">
            <v>0</v>
          </cell>
          <cell r="P801">
            <v>0</v>
          </cell>
          <cell r="Q801">
            <v>0</v>
          </cell>
          <cell r="R801">
            <v>1951.0302291802634</v>
          </cell>
          <cell r="S801">
            <v>4921.7217367974663</v>
          </cell>
          <cell r="T801">
            <v>1401.0380340222703</v>
          </cell>
          <cell r="U801">
            <v>2964.7747595802271</v>
          </cell>
          <cell r="V801">
            <v>1172.1202404197734</v>
          </cell>
          <cell r="W801">
            <v>0</v>
          </cell>
          <cell r="X801">
            <v>0</v>
          </cell>
          <cell r="Y801">
            <v>0</v>
          </cell>
        </row>
        <row r="802">
          <cell r="J802">
            <v>0</v>
          </cell>
          <cell r="K802">
            <v>0</v>
          </cell>
          <cell r="L802">
            <v>0</v>
          </cell>
          <cell r="M802">
            <v>0</v>
          </cell>
          <cell r="N802">
            <v>0</v>
          </cell>
          <cell r="O802">
            <v>0</v>
          </cell>
          <cell r="P802">
            <v>0</v>
          </cell>
          <cell r="Q802">
            <v>0</v>
          </cell>
          <cell r="R802">
            <v>1969.8170944933534</v>
          </cell>
          <cell r="S802">
            <v>4969.1139924349254</v>
          </cell>
          <cell r="T802">
            <v>1414.5289130717208</v>
          </cell>
          <cell r="U802">
            <v>2993.3231763391436</v>
          </cell>
          <cell r="V802">
            <v>1183.4068236608566</v>
          </cell>
          <cell r="W802">
            <v>0</v>
          </cell>
          <cell r="X802">
            <v>0</v>
          </cell>
          <cell r="Y802">
            <v>0</v>
          </cell>
        </row>
        <row r="803">
          <cell r="J803">
            <v>0</v>
          </cell>
          <cell r="K803">
            <v>0</v>
          </cell>
          <cell r="L803">
            <v>0</v>
          </cell>
          <cell r="M803">
            <v>0</v>
          </cell>
          <cell r="N803">
            <v>0</v>
          </cell>
          <cell r="O803">
            <v>0</v>
          </cell>
          <cell r="P803">
            <v>0</v>
          </cell>
          <cell r="Q803">
            <v>0</v>
          </cell>
          <cell r="R803">
            <v>3311.4308418210917</v>
          </cell>
          <cell r="S803">
            <v>8353.5051945043797</v>
          </cell>
          <cell r="T803">
            <v>2377.943963674526</v>
          </cell>
          <cell r="U803">
            <v>5032.0320162602602</v>
          </cell>
          <cell r="V803">
            <v>1989.4079837397401</v>
          </cell>
          <cell r="W803">
            <v>0</v>
          </cell>
          <cell r="X803">
            <v>0</v>
          </cell>
          <cell r="Y803">
            <v>0</v>
          </cell>
        </row>
        <row r="804">
          <cell r="J804">
            <v>0</v>
          </cell>
          <cell r="K804">
            <v>0</v>
          </cell>
          <cell r="L804">
            <v>0</v>
          </cell>
          <cell r="M804">
            <v>0</v>
          </cell>
          <cell r="N804">
            <v>0</v>
          </cell>
          <cell r="O804">
            <v>0</v>
          </cell>
          <cell r="P804">
            <v>0</v>
          </cell>
          <cell r="Q804">
            <v>0</v>
          </cell>
          <cell r="R804">
            <v>2167.2878708268272</v>
          </cell>
          <cell r="S804">
            <v>5467.2591250560008</v>
          </cell>
          <cell r="T804">
            <v>1556.3330041171703</v>
          </cell>
          <cell r="U804">
            <v>3293.3986773087927</v>
          </cell>
          <cell r="V804">
            <v>1302.0413226912074</v>
          </cell>
          <cell r="W804">
            <v>0</v>
          </cell>
          <cell r="X804">
            <v>0</v>
          </cell>
          <cell r="Y804">
            <v>0</v>
          </cell>
        </row>
        <row r="805">
          <cell r="J805">
            <v>0</v>
          </cell>
          <cell r="K805">
            <v>0</v>
          </cell>
          <cell r="L805">
            <v>0</v>
          </cell>
          <cell r="M805">
            <v>0</v>
          </cell>
          <cell r="N805">
            <v>0</v>
          </cell>
          <cell r="O805">
            <v>0</v>
          </cell>
          <cell r="P805">
            <v>0</v>
          </cell>
          <cell r="Q805">
            <v>0</v>
          </cell>
          <cell r="R805">
            <v>816.50117181490134</v>
          </cell>
          <cell r="S805">
            <v>2059.7279864445964</v>
          </cell>
          <cell r="T805">
            <v>586.33084174050248</v>
          </cell>
          <cell r="U805">
            <v>1240.7506706759673</v>
          </cell>
          <cell r="V805">
            <v>490.52932932403291</v>
          </cell>
          <cell r="W805">
            <v>0</v>
          </cell>
          <cell r="X805">
            <v>0</v>
          </cell>
          <cell r="Y805">
            <v>0</v>
          </cell>
        </row>
        <row r="806">
          <cell r="J806">
            <v>0</v>
          </cell>
          <cell r="K806">
            <v>0</v>
          </cell>
          <cell r="L806">
            <v>0</v>
          </cell>
          <cell r="M806">
            <v>0</v>
          </cell>
          <cell r="N806">
            <v>0</v>
          </cell>
          <cell r="O806">
            <v>0</v>
          </cell>
          <cell r="P806">
            <v>0</v>
          </cell>
          <cell r="Q806">
            <v>0</v>
          </cell>
          <cell r="R806">
            <v>408.25058590745067</v>
          </cell>
          <cell r="S806">
            <v>1029.8639932222982</v>
          </cell>
          <cell r="T806">
            <v>293.16542087025124</v>
          </cell>
          <cell r="U806">
            <v>620.37533533798364</v>
          </cell>
          <cell r="V806">
            <v>245.26466466201646</v>
          </cell>
          <cell r="W806">
            <v>0</v>
          </cell>
          <cell r="X806">
            <v>0</v>
          </cell>
          <cell r="Y806">
            <v>0</v>
          </cell>
        </row>
        <row r="807">
          <cell r="J807">
            <v>0</v>
          </cell>
          <cell r="K807">
            <v>0</v>
          </cell>
          <cell r="L807">
            <v>0</v>
          </cell>
          <cell r="M807">
            <v>0</v>
          </cell>
          <cell r="N807">
            <v>0</v>
          </cell>
          <cell r="O807">
            <v>0</v>
          </cell>
          <cell r="P807">
            <v>0</v>
          </cell>
          <cell r="Q807">
            <v>0</v>
          </cell>
          <cell r="R807">
            <v>0</v>
          </cell>
          <cell r="S807">
            <v>0</v>
          </cell>
          <cell r="T807">
            <v>0</v>
          </cell>
          <cell r="U807">
            <v>604.42161211258144</v>
          </cell>
          <cell r="V807">
            <v>1344.3679501674712</v>
          </cell>
          <cell r="W807">
            <v>1544.6866976536294</v>
          </cell>
          <cell r="X807">
            <v>1623.8256336767615</v>
          </cell>
          <cell r="Y807">
            <v>2761.9381063895562</v>
          </cell>
        </row>
        <row r="808">
          <cell r="J808">
            <v>0</v>
          </cell>
          <cell r="K808">
            <v>0</v>
          </cell>
          <cell r="L808">
            <v>0</v>
          </cell>
          <cell r="M808">
            <v>0</v>
          </cell>
          <cell r="N808">
            <v>0</v>
          </cell>
          <cell r="O808">
            <v>0</v>
          </cell>
          <cell r="P808">
            <v>0</v>
          </cell>
          <cell r="Q808">
            <v>0</v>
          </cell>
          <cell r="R808">
            <v>0</v>
          </cell>
          <cell r="S808">
            <v>0</v>
          </cell>
          <cell r="T808">
            <v>0</v>
          </cell>
          <cell r="U808">
            <v>1099.5773432420935</v>
          </cell>
          <cell r="V808">
            <v>2445.7043053411303</v>
          </cell>
          <cell r="W808">
            <v>2810.1286603745939</v>
          </cell>
          <cell r="X808">
            <v>2954.09998647455</v>
          </cell>
          <cell r="Y808">
            <v>5024.5797045676327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58C7-F350-4BC6-8A82-FAEC112D3B68}">
  <sheetPr>
    <tabColor theme="0"/>
  </sheetPr>
  <dimension ref="A1:V45"/>
  <sheetViews>
    <sheetView tabSelected="1" zoomScaleNormal="100" workbookViewId="0">
      <pane xSplit="3" ySplit="5" topLeftCell="D6" activePane="bottomRight" state="frozen"/>
      <selection pane="topRight" activeCell="D1" sqref="D1"/>
      <selection pane="bottomLeft" activeCell="A6" sqref="A6"/>
      <selection pane="bottomRight" activeCell="U35" sqref="U35"/>
    </sheetView>
  </sheetViews>
  <sheetFormatPr defaultColWidth="8.88671875" defaultRowHeight="14.4" x14ac:dyDescent="0.3"/>
  <cols>
    <col min="1" max="1" width="6.33203125" style="1" customWidth="1"/>
    <col min="2" max="2" width="40.109375" style="33" customWidth="1"/>
    <col min="3" max="3" width="17.6640625" style="34" customWidth="1"/>
    <col min="4" max="4" width="19.6640625" style="1" customWidth="1"/>
    <col min="5" max="8" width="15.33203125" style="1" customWidth="1"/>
    <col min="9" max="16" width="16.5546875" style="1" customWidth="1"/>
    <col min="17" max="19" width="15.21875" style="1" customWidth="1"/>
    <col min="20" max="20" width="20" style="1" customWidth="1"/>
    <col min="21" max="21" width="14.109375" style="1" customWidth="1"/>
    <col min="22" max="22" width="13.33203125" style="1" customWidth="1"/>
    <col min="23" max="32" width="13.33203125" style="1" bestFit="1" customWidth="1"/>
    <col min="33" max="16384" width="8.88671875" style="1"/>
  </cols>
  <sheetData>
    <row r="1" spans="1:22" ht="47.7" customHeight="1" x14ac:dyDescent="0.3">
      <c r="A1" s="53" t="s">
        <v>0</v>
      </c>
      <c r="B1" s="54"/>
      <c r="C1" s="55"/>
      <c r="D1" s="39">
        <v>1</v>
      </c>
      <c r="E1" s="39">
        <v>1</v>
      </c>
      <c r="F1" s="39">
        <v>1</v>
      </c>
      <c r="G1" s="39">
        <v>1</v>
      </c>
      <c r="H1" s="40">
        <v>0</v>
      </c>
      <c r="I1" s="40">
        <v>0</v>
      </c>
      <c r="J1" s="40">
        <v>0</v>
      </c>
      <c r="K1" s="40">
        <v>0</v>
      </c>
      <c r="L1" s="40">
        <v>0</v>
      </c>
      <c r="M1" s="40">
        <v>0</v>
      </c>
      <c r="N1" s="40">
        <v>0</v>
      </c>
      <c r="O1" s="40">
        <v>0</v>
      </c>
      <c r="P1" s="40">
        <v>0</v>
      </c>
      <c r="Q1" s="40">
        <v>0</v>
      </c>
      <c r="R1" s="40">
        <v>0</v>
      </c>
      <c r="S1" s="40">
        <v>0</v>
      </c>
      <c r="T1" s="40">
        <v>0</v>
      </c>
    </row>
    <row r="2" spans="1:22" ht="13.2" hidden="1" customHeight="1" x14ac:dyDescent="0.3">
      <c r="A2" s="56"/>
      <c r="B2" s="57"/>
      <c r="C2" s="58"/>
      <c r="D2" s="59" t="s">
        <v>1</v>
      </c>
      <c r="E2" s="60"/>
      <c r="F2" s="60" t="s">
        <v>2</v>
      </c>
      <c r="G2" s="60"/>
      <c r="H2" s="38"/>
      <c r="I2" s="38"/>
      <c r="J2" s="38"/>
      <c r="K2" s="38"/>
      <c r="L2" s="38"/>
      <c r="M2" s="38"/>
      <c r="N2" s="38"/>
      <c r="O2" s="38"/>
      <c r="P2" s="38"/>
      <c r="Q2" s="38"/>
    </row>
    <row r="3" spans="1:22" s="4" customFormat="1" ht="13.8" customHeight="1" x14ac:dyDescent="0.3">
      <c r="A3" s="61" t="s">
        <v>3</v>
      </c>
      <c r="B3" s="62"/>
      <c r="C3" s="63"/>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69</v>
      </c>
      <c r="T3" s="3" t="s">
        <v>19</v>
      </c>
    </row>
    <row r="4" spans="1:22" s="4" customFormat="1" ht="13.8" customHeight="1" x14ac:dyDescent="0.3">
      <c r="A4" s="64"/>
      <c r="B4" s="65"/>
      <c r="C4" s="66"/>
      <c r="D4" s="2" t="s">
        <v>20</v>
      </c>
      <c r="E4" s="2" t="s">
        <v>21</v>
      </c>
      <c r="F4" s="2" t="s">
        <v>22</v>
      </c>
      <c r="G4" s="2" t="s">
        <v>23</v>
      </c>
      <c r="H4" s="2" t="s">
        <v>24</v>
      </c>
      <c r="I4" s="2" t="s">
        <v>25</v>
      </c>
      <c r="J4" s="2" t="s">
        <v>26</v>
      </c>
      <c r="K4" s="2" t="s">
        <v>27</v>
      </c>
      <c r="L4" s="2" t="s">
        <v>28</v>
      </c>
      <c r="M4" s="2" t="s">
        <v>29</v>
      </c>
      <c r="N4" s="2" t="s">
        <v>30</v>
      </c>
      <c r="O4" s="2" t="s">
        <v>31</v>
      </c>
      <c r="P4" s="2" t="s">
        <v>32</v>
      </c>
      <c r="Q4" s="2" t="s">
        <v>21</v>
      </c>
      <c r="R4" s="2" t="s">
        <v>22</v>
      </c>
      <c r="S4" s="2" t="s">
        <v>70</v>
      </c>
      <c r="T4" s="3"/>
    </row>
    <row r="5" spans="1:22" s="4" customFormat="1" ht="14.4" customHeight="1" x14ac:dyDescent="0.3">
      <c r="A5" s="5" t="s">
        <v>33</v>
      </c>
      <c r="B5" s="6" t="s">
        <v>34</v>
      </c>
      <c r="C5" s="7" t="s">
        <v>35</v>
      </c>
      <c r="D5" s="43" t="s">
        <v>36</v>
      </c>
      <c r="E5" s="44"/>
      <c r="F5" s="44"/>
      <c r="G5" s="44"/>
      <c r="H5" s="44"/>
      <c r="I5" s="44"/>
      <c r="J5" s="44"/>
      <c r="K5" s="44"/>
      <c r="L5" s="44"/>
      <c r="M5" s="44"/>
      <c r="N5" s="44"/>
      <c r="O5" s="44"/>
      <c r="P5" s="44"/>
      <c r="Q5" s="44"/>
      <c r="R5" s="44"/>
      <c r="S5" s="44"/>
      <c r="T5" s="37"/>
    </row>
    <row r="6" spans="1:22" s="10" customFormat="1" ht="13.2" x14ac:dyDescent="0.3">
      <c r="A6" s="45" t="s">
        <v>37</v>
      </c>
      <c r="B6" s="47" t="s">
        <v>38</v>
      </c>
      <c r="C6" s="49">
        <v>5478082</v>
      </c>
      <c r="D6" s="14">
        <f>D7/$C$6</f>
        <v>5.2380952380952382E-2</v>
      </c>
      <c r="E6" s="14">
        <f t="shared" ref="E6:S6" si="0">E7/$C$6</f>
        <v>7.1428571428571425E-2</v>
      </c>
      <c r="F6" s="14">
        <f t="shared" si="0"/>
        <v>7.1428571428571425E-2</v>
      </c>
      <c r="G6" s="14">
        <f t="shared" si="0"/>
        <v>7.1428571428571425E-2</v>
      </c>
      <c r="H6" s="14">
        <f t="shared" si="0"/>
        <v>7.1428571428571425E-2</v>
      </c>
      <c r="I6" s="14">
        <f t="shared" si="0"/>
        <v>7.1428571428571425E-2</v>
      </c>
      <c r="J6" s="14">
        <f t="shared" si="0"/>
        <v>7.1428571428571425E-2</v>
      </c>
      <c r="K6" s="14">
        <f t="shared" si="0"/>
        <v>7.1428571428571425E-2</v>
      </c>
      <c r="L6" s="14">
        <f t="shared" si="0"/>
        <v>7.1428571428571425E-2</v>
      </c>
      <c r="M6" s="14">
        <f t="shared" si="0"/>
        <v>7.1428571428571425E-2</v>
      </c>
      <c r="N6" s="14">
        <f t="shared" si="0"/>
        <v>7.1428571428571425E-2</v>
      </c>
      <c r="O6" s="14">
        <f t="shared" si="0"/>
        <v>7.1428571428571425E-2</v>
      </c>
      <c r="P6" s="14">
        <f t="shared" si="0"/>
        <v>7.1428571428571425E-2</v>
      </c>
      <c r="Q6" s="14">
        <f t="shared" si="0"/>
        <v>7.1428571428571425E-2</v>
      </c>
      <c r="R6" s="14">
        <f t="shared" si="0"/>
        <v>1.904761922147204E-2</v>
      </c>
      <c r="S6" s="14">
        <f t="shared" si="0"/>
        <v>0</v>
      </c>
      <c r="T6" s="8">
        <f>T7/C6</f>
        <v>0.73333333333333339</v>
      </c>
      <c r="U6" s="9"/>
    </row>
    <row r="7" spans="1:22" ht="13.2" x14ac:dyDescent="0.3">
      <c r="A7" s="46"/>
      <c r="B7" s="48"/>
      <c r="C7" s="50"/>
      <c r="D7" s="11">
        <v>286947.15238095238</v>
      </c>
      <c r="E7" s="11">
        <v>391291.57142857142</v>
      </c>
      <c r="F7" s="11">
        <f>[4]Med_04!Z13</f>
        <v>391291.57142857142</v>
      </c>
      <c r="G7" s="11">
        <v>391291.57142857142</v>
      </c>
      <c r="H7" s="11">
        <v>391291.57142857142</v>
      </c>
      <c r="I7" s="11">
        <v>391291.57142857142</v>
      </c>
      <c r="J7" s="11">
        <v>391291.57142857142</v>
      </c>
      <c r="K7" s="11">
        <v>391291.57142857142</v>
      </c>
      <c r="L7" s="11">
        <v>391291.57142857142</v>
      </c>
      <c r="M7" s="11">
        <v>391291.57142857142</v>
      </c>
      <c r="N7" s="11">
        <v>391291.57142857142</v>
      </c>
      <c r="O7" s="11">
        <v>391291.57142857142</v>
      </c>
      <c r="P7" s="11">
        <v>391291.57142857142</v>
      </c>
      <c r="Q7" s="11">
        <v>391291.57142857142</v>
      </c>
      <c r="R7" s="11">
        <v>104344.42</v>
      </c>
      <c r="S7" s="35"/>
      <c r="T7" s="12">
        <f>C6-SUMIFS(D7:S7,$D$1:$S$1,1)</f>
        <v>4017260.1333333338</v>
      </c>
      <c r="U7" s="13"/>
      <c r="V7" s="13"/>
    </row>
    <row r="8" spans="1:22" s="10" customFormat="1" ht="13.2" x14ac:dyDescent="0.3">
      <c r="A8" s="45" t="s">
        <v>39</v>
      </c>
      <c r="B8" s="47" t="s">
        <v>40</v>
      </c>
      <c r="C8" s="49">
        <v>1441857.7100000002</v>
      </c>
      <c r="D8" s="14">
        <f>D9/$C$8</f>
        <v>8.4232791597722897E-3</v>
      </c>
      <c r="E8" s="14">
        <f t="shared" ref="E8:S8" si="1">E9/$C$8</f>
        <v>1.3825559805065646E-2</v>
      </c>
      <c r="F8" s="14">
        <f t="shared" si="1"/>
        <v>1.1433603944178371E-2</v>
      </c>
      <c r="G8" s="14">
        <f t="shared" si="1"/>
        <v>4.9550509391110435E-2</v>
      </c>
      <c r="H8" s="14">
        <f t="shared" si="1"/>
        <v>4.2597236840822769E-2</v>
      </c>
      <c r="I8" s="14">
        <f t="shared" si="1"/>
        <v>4.1616918193430025E-2</v>
      </c>
      <c r="J8" s="14">
        <f t="shared" si="1"/>
        <v>0.23015670690808757</v>
      </c>
      <c r="K8" s="14">
        <f t="shared" si="1"/>
        <v>8.637310845578261E-2</v>
      </c>
      <c r="L8" s="14">
        <f t="shared" si="1"/>
        <v>8.637310845578261E-2</v>
      </c>
      <c r="M8" s="14">
        <f t="shared" si="1"/>
        <v>8.637310845578261E-2</v>
      </c>
      <c r="N8" s="14">
        <f t="shared" si="1"/>
        <v>8.637310845578261E-2</v>
      </c>
      <c r="O8" s="14">
        <f t="shared" si="1"/>
        <v>6.919744415254149E-2</v>
      </c>
      <c r="P8" s="14">
        <f t="shared" si="1"/>
        <v>4.9905658418705097E-2</v>
      </c>
      <c r="Q8" s="14">
        <f t="shared" si="1"/>
        <v>4.951952461636204E-2</v>
      </c>
      <c r="R8" s="14">
        <f t="shared" si="1"/>
        <v>4.2880596285493636E-2</v>
      </c>
      <c r="S8" s="14">
        <f t="shared" si="1"/>
        <v>4.5400528461300119E-2</v>
      </c>
      <c r="T8" s="8">
        <f>T9/C8</f>
        <v>0.91676704769987327</v>
      </c>
      <c r="U8" s="9"/>
    </row>
    <row r="9" spans="1:22" ht="13.2" x14ac:dyDescent="0.3">
      <c r="A9" s="46"/>
      <c r="B9" s="48"/>
      <c r="C9" s="50"/>
      <c r="D9" s="11">
        <f>SUM('[5]PROJ. RECEITA $'!J16:J31)</f>
        <v>12145.17</v>
      </c>
      <c r="E9" s="11">
        <f>SUM('[5]PROJ. RECEITA $'!K16:K31)</f>
        <v>19934.490000000002</v>
      </c>
      <c r="F9" s="11">
        <f>SUM('[5]PROJ. RECEITA $'!L16:L31)</f>
        <v>16485.629999999997</v>
      </c>
      <c r="G9" s="11">
        <f>SUM('[5]PROJ. RECEITA $'!M16:M31)</f>
        <v>71444.784</v>
      </c>
      <c r="H9" s="11">
        <f>SUM('[5]PROJ. RECEITA $'!N16:N31)</f>
        <v>61419.154363636364</v>
      </c>
      <c r="I9" s="11">
        <f>SUM('[5]PROJ. RECEITA $'!O16:O31)</f>
        <v>60005.674363636361</v>
      </c>
      <c r="J9" s="11">
        <f>SUM('[5]PROJ. RECEITA $'!P16:P31)</f>
        <v>331853.22236363636</v>
      </c>
      <c r="K9" s="11">
        <f>SUM('[5]PROJ. RECEITA $'!Q16:Q31)</f>
        <v>124537.73236363637</v>
      </c>
      <c r="L9" s="11">
        <f>SUM('[5]PROJ. RECEITA $'!R16:R31)</f>
        <v>124537.73236363637</v>
      </c>
      <c r="M9" s="11">
        <f>SUM('[5]PROJ. RECEITA $'!S16:S31)</f>
        <v>124537.73236363637</v>
      </c>
      <c r="N9" s="11">
        <f>SUM('[5]PROJ. RECEITA $'!T16:T31)</f>
        <v>124537.73236363637</v>
      </c>
      <c r="O9" s="11">
        <f>SUM('[5]PROJ. RECEITA $'!U16:U31)</f>
        <v>99772.868363636371</v>
      </c>
      <c r="P9" s="11">
        <f>SUM('[5]PROJ. RECEITA $'!V16:V31)</f>
        <v>71956.858363636362</v>
      </c>
      <c r="Q9" s="11">
        <f>SUM('[5]PROJ. RECEITA $'!W16:W31)</f>
        <v>71400.108363636406</v>
      </c>
      <c r="R9" s="11">
        <f>SUM('[5]PROJ. RECEITA $'!X16:X31)</f>
        <v>61827.71836363637</v>
      </c>
      <c r="S9" s="11">
        <f>SUM('[5]PROJ. RECEITA $'!Y16:Y31)</f>
        <v>65461.102000000021</v>
      </c>
      <c r="T9" s="12">
        <f>C8-SUMIFS(D9:S9,$D$1:$S$1,1)</f>
        <v>1321847.6360000002</v>
      </c>
      <c r="U9" s="13"/>
      <c r="V9" s="13"/>
    </row>
    <row r="10" spans="1:22" s="10" customFormat="1" ht="13.2" x14ac:dyDescent="0.3">
      <c r="A10" s="45" t="s">
        <v>41</v>
      </c>
      <c r="B10" s="47" t="s">
        <v>42</v>
      </c>
      <c r="C10" s="49">
        <v>470953.55999999994</v>
      </c>
      <c r="D10" s="14">
        <f>D11/$C$10</f>
        <v>0</v>
      </c>
      <c r="E10" s="14">
        <f t="shared" ref="E10:H10" si="2">E11/$C$10</f>
        <v>0</v>
      </c>
      <c r="F10" s="14">
        <f t="shared" si="2"/>
        <v>0</v>
      </c>
      <c r="G10" s="14">
        <f t="shared" si="2"/>
        <v>0</v>
      </c>
      <c r="H10" s="14">
        <f t="shared" si="2"/>
        <v>0</v>
      </c>
      <c r="I10" s="14">
        <f>I11/$C$10</f>
        <v>2.493457635185941E-2</v>
      </c>
      <c r="J10" s="14">
        <f t="shared" ref="J10:S10" si="3">J11/$C$10</f>
        <v>0.23252003021274542</v>
      </c>
      <c r="K10" s="14">
        <f t="shared" si="3"/>
        <v>0.23252003021274542</v>
      </c>
      <c r="L10" s="14">
        <f t="shared" si="3"/>
        <v>0.2132553069563802</v>
      </c>
      <c r="M10" s="14">
        <f t="shared" si="3"/>
        <v>0.10805279904031304</v>
      </c>
      <c r="N10" s="14">
        <f t="shared" si="3"/>
        <v>1.1251317590634627E-2</v>
      </c>
      <c r="O10" s="14">
        <f t="shared" si="3"/>
        <v>2.1637149212758899E-2</v>
      </c>
      <c r="P10" s="14">
        <f t="shared" si="3"/>
        <v>3.9016121246443554E-2</v>
      </c>
      <c r="Q10" s="14">
        <f t="shared" si="3"/>
        <v>0.10380975343427869</v>
      </c>
      <c r="R10" s="14">
        <f t="shared" si="3"/>
        <v>1.3002979404168854E-2</v>
      </c>
      <c r="S10" s="14">
        <f t="shared" si="3"/>
        <v>0</v>
      </c>
      <c r="T10" s="8">
        <f>T11/C10</f>
        <v>1</v>
      </c>
      <c r="U10" s="9"/>
    </row>
    <row r="11" spans="1:22" ht="13.2" x14ac:dyDescent="0.3">
      <c r="A11" s="46"/>
      <c r="B11" s="48"/>
      <c r="C11" s="50"/>
      <c r="D11" s="11">
        <f>SUM('[5]PROJ. RECEITA $'!K33:K40)</f>
        <v>0</v>
      </c>
      <c r="E11" s="11">
        <f>SUM('[5]PROJ. RECEITA $'!L33:L40)</f>
        <v>0</v>
      </c>
      <c r="F11" s="11">
        <f>SUM('[5]PROJ. RECEITA $'!M33:M40)</f>
        <v>0</v>
      </c>
      <c r="G11" s="11">
        <f>SUM('[5]PROJ. RECEITA $'!N33:N40)</f>
        <v>0</v>
      </c>
      <c r="H11" s="11">
        <f>SUM('[5]PROJ. RECEITA $'!O33:O40)</f>
        <v>0</v>
      </c>
      <c r="I11" s="11">
        <f>SUM('[5]PROJ. RECEITA $'!P33:P40)</f>
        <v>11743.0275</v>
      </c>
      <c r="J11" s="11">
        <f>SUM('[5]PROJ. RECEITA $'!Q33:Q40)</f>
        <v>109506.136</v>
      </c>
      <c r="K11" s="11">
        <f>SUM('[5]PROJ. RECEITA $'!R33:R40)</f>
        <v>109506.136</v>
      </c>
      <c r="L11" s="11">
        <f>SUM('[5]PROJ. RECEITA $'!S33:S40)</f>
        <v>100433.34600000001</v>
      </c>
      <c r="M11" s="11">
        <f>SUM('[5]PROJ. RECEITA $'!T33:T40)</f>
        <v>50887.850376000002</v>
      </c>
      <c r="N11" s="11">
        <f>SUM('[5]PROJ. RECEITA $'!U33:U40)</f>
        <v>5298.8480739999995</v>
      </c>
      <c r="O11" s="11">
        <f>SUM('[5]PROJ. RECEITA $'!V33:V40)</f>
        <v>10190.09245</v>
      </c>
      <c r="P11" s="11">
        <f>SUM('[5]PROJ. RECEITA $'!W33:W40)</f>
        <v>18374.781198404227</v>
      </c>
      <c r="Q11" s="11">
        <f>SUM('[5]PROJ. RECEITA $'!X33:X40)</f>
        <v>48889.572942595769</v>
      </c>
      <c r="R11" s="11">
        <f>SUM('[5]PROJ. RECEITA $'!Y33:Y40)</f>
        <v>6123.7994410000001</v>
      </c>
      <c r="S11" s="11">
        <f>SUM('[5]PROJ. RECEITA $'!Z33:Z40)</f>
        <v>0</v>
      </c>
      <c r="T11" s="12">
        <f>C10-SUMIFS(D11:S11,$D$1:$S$1,1)</f>
        <v>470953.55999999994</v>
      </c>
      <c r="U11" s="13"/>
    </row>
    <row r="12" spans="1:22" s="10" customFormat="1" ht="13.2" x14ac:dyDescent="0.3">
      <c r="A12" s="45" t="s">
        <v>43</v>
      </c>
      <c r="B12" s="47" t="s">
        <v>44</v>
      </c>
      <c r="C12" s="49">
        <v>641942.72</v>
      </c>
      <c r="D12" s="14">
        <f>D13/$C$12</f>
        <v>9.4806464975566676E-2</v>
      </c>
      <c r="E12" s="14">
        <f t="shared" ref="E12:S12" si="4">E13/$C$12</f>
        <v>0.147707820411142</v>
      </c>
      <c r="F12" s="14">
        <f t="shared" si="4"/>
        <v>0.23568836485909525</v>
      </c>
      <c r="G12" s="14">
        <f t="shared" si="4"/>
        <v>0.1265444787436045</v>
      </c>
      <c r="H12" s="14">
        <f t="shared" si="4"/>
        <v>0.15987877642248677</v>
      </c>
      <c r="I12" s="14">
        <f t="shared" si="4"/>
        <v>0.10246684814285299</v>
      </c>
      <c r="J12" s="14">
        <f t="shared" si="4"/>
        <v>2.6449130987507043E-2</v>
      </c>
      <c r="K12" s="14">
        <f t="shared" si="4"/>
        <v>1.9530061731987548E-2</v>
      </c>
      <c r="L12" s="14">
        <f t="shared" si="4"/>
        <v>1.9530061731987548E-2</v>
      </c>
      <c r="M12" s="14">
        <f t="shared" si="4"/>
        <v>1.5599983905106056E-2</v>
      </c>
      <c r="N12" s="14">
        <f t="shared" si="4"/>
        <v>8.6330132383150935E-3</v>
      </c>
      <c r="O12" s="14">
        <f t="shared" si="4"/>
        <v>8.6330132383150935E-3</v>
      </c>
      <c r="P12" s="14">
        <f t="shared" si="4"/>
        <v>8.6330132383150935E-3</v>
      </c>
      <c r="Q12" s="14">
        <f t="shared" si="4"/>
        <v>8.6330132383150935E-3</v>
      </c>
      <c r="R12" s="14">
        <f t="shared" si="4"/>
        <v>8.6330132383150935E-3</v>
      </c>
      <c r="S12" s="14">
        <f t="shared" si="4"/>
        <v>8.6330132383150935E-3</v>
      </c>
      <c r="T12" s="8">
        <f>T13/C12</f>
        <v>0.39525287101059153</v>
      </c>
      <c r="U12" s="9"/>
    </row>
    <row r="13" spans="1:22" ht="13.2" x14ac:dyDescent="0.3">
      <c r="A13" s="46"/>
      <c r="B13" s="48"/>
      <c r="C13" s="50"/>
      <c r="D13" s="11">
        <f>SUM('[5]PROJ. RECEITA $'!J42:J67)</f>
        <v>60860.32</v>
      </c>
      <c r="E13" s="11">
        <f>SUM('[5]PROJ. RECEITA $'!K42:K67)</f>
        <v>94819.96</v>
      </c>
      <c r="F13" s="11">
        <f>SUM('[5]PROJ. RECEITA $'!L42:L67)</f>
        <v>151298.43001000001</v>
      </c>
      <c r="G13" s="11">
        <f>SUM('[5]PROJ. RECEITA $'!M42:M67)</f>
        <v>81234.306885651647</v>
      </c>
      <c r="H13" s="11">
        <f>SUM('[5]PROJ. RECEITA $'!N42:N67)</f>
        <v>102633.01660692302</v>
      </c>
      <c r="I13" s="11">
        <f>SUM('[5]PROJ. RECEITA $'!O42:O67)</f>
        <v>65777.847206649996</v>
      </c>
      <c r="J13" s="11">
        <f>SUM('[5]PROJ. RECEITA $'!P42:P67)</f>
        <v>16978.827087756556</v>
      </c>
      <c r="K13" s="11">
        <f>SUM('[5]PROJ. RECEITA $'!Q42:Q67)</f>
        <v>12537.180949999998</v>
      </c>
      <c r="L13" s="11">
        <f>SUM('[5]PROJ. RECEITA $'!R42:R67)</f>
        <v>12537.180949999998</v>
      </c>
      <c r="M13" s="11">
        <f>SUM('[5]PROJ. RECEITA $'!S42:S67)</f>
        <v>10014.296100000003</v>
      </c>
      <c r="N13" s="11">
        <f>SUM('[5]PROJ. RECEITA $'!T42:T67)</f>
        <v>5541.9</v>
      </c>
      <c r="O13" s="11">
        <f>SUM('[5]PROJ. RECEITA $'!U42:U67)</f>
        <v>5541.9</v>
      </c>
      <c r="P13" s="11">
        <f>SUM('[5]PROJ. RECEITA $'!V42:V67)</f>
        <v>5541.9</v>
      </c>
      <c r="Q13" s="11">
        <f>SUM('[5]PROJ. RECEITA $'!W42:W67)</f>
        <v>5541.9</v>
      </c>
      <c r="R13" s="11">
        <f>SUM('[5]PROJ. RECEITA $'!X42:X67)</f>
        <v>5541.9</v>
      </c>
      <c r="S13" s="11">
        <f>SUM('[5]PROJ. RECEITA $'!Y42:Y67)</f>
        <v>5541.9</v>
      </c>
      <c r="T13" s="12">
        <f>C12-SUMIFS(D13:S13,$D$1:$S$1,1)</f>
        <v>253729.70310434827</v>
      </c>
      <c r="U13" s="13"/>
      <c r="V13" s="13"/>
    </row>
    <row r="14" spans="1:22" s="10" customFormat="1" ht="13.2" x14ac:dyDescent="0.3">
      <c r="A14" s="45" t="s">
        <v>45</v>
      </c>
      <c r="B14" s="47" t="s">
        <v>46</v>
      </c>
      <c r="C14" s="49">
        <v>4793616.3499999996</v>
      </c>
      <c r="D14" s="14">
        <f>D15/$C$14</f>
        <v>0</v>
      </c>
      <c r="E14" s="14">
        <f t="shared" ref="E14:S14" si="5">E15/$C$14</f>
        <v>0</v>
      </c>
      <c r="F14" s="14">
        <f t="shared" si="5"/>
        <v>0</v>
      </c>
      <c r="G14" s="14">
        <f t="shared" si="5"/>
        <v>0</v>
      </c>
      <c r="H14" s="14">
        <f t="shared" si="5"/>
        <v>0</v>
      </c>
      <c r="I14" s="14">
        <f t="shared" si="5"/>
        <v>2.1888696840494038E-2</v>
      </c>
      <c r="J14" s="14">
        <f t="shared" si="5"/>
        <v>0.2195193442030125</v>
      </c>
      <c r="K14" s="14">
        <f t="shared" si="5"/>
        <v>0.21930535959875355</v>
      </c>
      <c r="L14" s="14">
        <f t="shared" si="5"/>
        <v>0.16397597495780511</v>
      </c>
      <c r="M14" s="14">
        <f t="shared" si="5"/>
        <v>7.80414941329068E-2</v>
      </c>
      <c r="N14" s="14">
        <f t="shared" si="5"/>
        <v>0.10908106114399134</v>
      </c>
      <c r="O14" s="14">
        <f t="shared" si="5"/>
        <v>9.6849098445234538E-2</v>
      </c>
      <c r="P14" s="14">
        <f t="shared" si="5"/>
        <v>2.8265373913299582E-2</v>
      </c>
      <c r="Q14" s="14">
        <f t="shared" si="5"/>
        <v>1.0637241778170999E-2</v>
      </c>
      <c r="R14" s="14">
        <f t="shared" si="5"/>
        <v>3.2335311529119851E-2</v>
      </c>
      <c r="S14" s="14">
        <f t="shared" si="5"/>
        <v>2.0101073429120798E-2</v>
      </c>
      <c r="T14" s="8">
        <f>T15/C14</f>
        <v>1</v>
      </c>
      <c r="U14" s="9"/>
    </row>
    <row r="15" spans="1:22" ht="13.2" x14ac:dyDescent="0.3">
      <c r="A15" s="46"/>
      <c r="B15" s="48"/>
      <c r="C15" s="50"/>
      <c r="D15" s="11">
        <f>SUM('[5]PROJ. RECEITA $'!J69:J119)</f>
        <v>0</v>
      </c>
      <c r="E15" s="11">
        <f>SUM('[5]PROJ. RECEITA $'!K69:K119)</f>
        <v>0</v>
      </c>
      <c r="F15" s="11">
        <f>SUM('[5]PROJ. RECEITA $'!L69:L119)</f>
        <v>0</v>
      </c>
      <c r="G15" s="11">
        <f>SUM('[5]PROJ. RECEITA $'!M69:M119)</f>
        <v>0</v>
      </c>
      <c r="H15" s="11">
        <f>SUM('[5]PROJ. RECEITA $'!N69:N119)</f>
        <v>0</v>
      </c>
      <c r="I15" s="11">
        <f>SUM('[5]PROJ. RECEITA $'!O69:O119)</f>
        <v>104926.01505478556</v>
      </c>
      <c r="J15" s="11">
        <f>SUM('[5]PROJ. RECEITA $'!P69:P119)</f>
        <v>1052291.5175128384</v>
      </c>
      <c r="K15" s="11">
        <f>SUM('[5]PROJ. RECEITA $'!Q69:Q119)</f>
        <v>1051265.7574152143</v>
      </c>
      <c r="L15" s="11">
        <f>SUM('[5]PROJ. RECEITA $'!R69:R119)</f>
        <v>786037.91456492501</v>
      </c>
      <c r="M15" s="11">
        <f>SUM('[5]PROJ. RECEITA $'!S69:S119)</f>
        <v>374100.98225393106</v>
      </c>
      <c r="N15" s="11">
        <f>SUM('[5]PROJ. RECEITA $'!T69:T119)</f>
        <v>522892.75817518658</v>
      </c>
      <c r="O15" s="11">
        <f>SUM('[5]PROJ. RECEITA $'!U69:U119)</f>
        <v>464257.42178983585</v>
      </c>
      <c r="P15" s="11">
        <f>SUM('[5]PROJ. RECEITA $'!V69:V119)</f>
        <v>135493.35852965634</v>
      </c>
      <c r="Q15" s="11">
        <f>SUM('[5]PROJ. RECEITA $'!W69:W119)</f>
        <v>50990.856106743566</v>
      </c>
      <c r="R15" s="11">
        <f>SUM('[5]PROJ. RECEITA $'!X69:X119)</f>
        <v>155003.07802833241</v>
      </c>
      <c r="S15" s="11">
        <f>SUM('[5]PROJ. RECEITA $'!Y69:Y119)</f>
        <v>96356.834242384022</v>
      </c>
      <c r="T15" s="12">
        <f>C14-SUMIFS(D15:S15,$D$1:$S$1,1)</f>
        <v>4793616.3499999996</v>
      </c>
      <c r="U15" s="13"/>
      <c r="V15" s="13"/>
    </row>
    <row r="16" spans="1:22" s="10" customFormat="1" ht="13.2" x14ac:dyDescent="0.3">
      <c r="A16" s="45" t="s">
        <v>47</v>
      </c>
      <c r="B16" s="47" t="s">
        <v>48</v>
      </c>
      <c r="C16" s="49">
        <v>1979689.9699999997</v>
      </c>
      <c r="D16" s="14">
        <f>D17/$C$16</f>
        <v>0</v>
      </c>
      <c r="E16" s="14">
        <f t="shared" ref="E16:S16" si="6">E17/$C$16</f>
        <v>0</v>
      </c>
      <c r="F16" s="14">
        <f t="shared" si="6"/>
        <v>0</v>
      </c>
      <c r="G16" s="14">
        <f t="shared" si="6"/>
        <v>0</v>
      </c>
      <c r="H16" s="14">
        <f t="shared" si="6"/>
        <v>0</v>
      </c>
      <c r="I16" s="14">
        <f t="shared" si="6"/>
        <v>1.880327306067036E-2</v>
      </c>
      <c r="J16" s="14">
        <f t="shared" si="6"/>
        <v>0.14843331247399788</v>
      </c>
      <c r="K16" s="14">
        <f t="shared" si="6"/>
        <v>0.18590436709460925</v>
      </c>
      <c r="L16" s="14">
        <f t="shared" si="6"/>
        <v>0.26024132856656129</v>
      </c>
      <c r="M16" s="14">
        <f t="shared" si="6"/>
        <v>0.11936292448379805</v>
      </c>
      <c r="N16" s="14">
        <f t="shared" si="6"/>
        <v>8.3978676200288621E-2</v>
      </c>
      <c r="O16" s="14">
        <f t="shared" si="6"/>
        <v>0.12948837712848915</v>
      </c>
      <c r="P16" s="14">
        <f t="shared" si="6"/>
        <v>3.7751176515561674E-2</v>
      </c>
      <c r="Q16" s="14">
        <f t="shared" si="6"/>
        <v>1.603660167881894E-2</v>
      </c>
      <c r="R16" s="14">
        <f t="shared" si="6"/>
        <v>0</v>
      </c>
      <c r="S16" s="14">
        <f t="shared" si="6"/>
        <v>0</v>
      </c>
      <c r="T16" s="8">
        <f>T17/C16</f>
        <v>1</v>
      </c>
      <c r="U16" s="9"/>
    </row>
    <row r="17" spans="1:21" ht="13.2" x14ac:dyDescent="0.3">
      <c r="A17" s="46"/>
      <c r="B17" s="48"/>
      <c r="C17" s="50"/>
      <c r="D17" s="11">
        <f>SUM('[5]PROJ. RECEITA $'!J122:J146)</f>
        <v>0</v>
      </c>
      <c r="E17" s="11">
        <f>SUM('[5]PROJ. RECEITA $'!K122:K146)</f>
        <v>0</v>
      </c>
      <c r="F17" s="11">
        <f>SUM('[5]PROJ. RECEITA $'!L122:L146)</f>
        <v>0</v>
      </c>
      <c r="G17" s="11">
        <f>SUM('[5]PROJ. RECEITA $'!M122:M146)</f>
        <v>0</v>
      </c>
      <c r="H17" s="11">
        <f>SUM('[5]PROJ. RECEITA $'!N122:N146)</f>
        <v>0</v>
      </c>
      <c r="I17" s="11">
        <f>SUM('[5]PROJ. RECEITA $'!O122:O146)</f>
        <v>37224.651081380311</v>
      </c>
      <c r="J17" s="11">
        <f>SUM('[5]PROJ. RECEITA $'!P122:P146)</f>
        <v>293851.93991864944</v>
      </c>
      <c r="K17" s="11">
        <f>SUM('[5]PROJ. RECEITA $'!Q122:Q146)</f>
        <v>368033.01091639593</v>
      </c>
      <c r="L17" s="11">
        <f>SUM('[5]PROJ. RECEITA $'!R122:R146)</f>
        <v>515197.14794269577</v>
      </c>
      <c r="M17" s="11">
        <f>SUM('[5]PROJ. RECEITA $'!S122:S146)</f>
        <v>236301.58439044241</v>
      </c>
      <c r="N17" s="11">
        <f>SUM('[5]PROJ. RECEITA $'!T122:T146)</f>
        <v>166251.74296758906</v>
      </c>
      <c r="O17" s="11">
        <f>SUM('[5]PROJ. RECEITA $'!U122:U146)</f>
        <v>256346.84143284734</v>
      </c>
      <c r="P17" s="11">
        <f>SUM('[5]PROJ. RECEITA $'!V122:V146)</f>
        <v>74735.625503556992</v>
      </c>
      <c r="Q17" s="11">
        <f>SUM('[5]PROJ. RECEITA $'!W122:W146)</f>
        <v>31747.499496443012</v>
      </c>
      <c r="R17" s="11">
        <f>SUM('[5]PROJ. RECEITA $'!X122:X146)</f>
        <v>0</v>
      </c>
      <c r="S17" s="11">
        <f>SUM('[5]PROJ. RECEITA $'!Y122:Y146)</f>
        <v>0</v>
      </c>
      <c r="T17" s="12">
        <f>C16-SUMIFS(D17:S17,$D$1:$S$1,1)</f>
        <v>1979689.9699999997</v>
      </c>
      <c r="U17" s="13"/>
    </row>
    <row r="18" spans="1:21" s="10" customFormat="1" ht="13.2" x14ac:dyDescent="0.3">
      <c r="A18" s="45" t="s">
        <v>49</v>
      </c>
      <c r="B18" s="47" t="s">
        <v>50</v>
      </c>
      <c r="C18" s="49">
        <v>2886791.38</v>
      </c>
      <c r="D18" s="14">
        <f>D19/$C$18</f>
        <v>0</v>
      </c>
      <c r="E18" s="14">
        <f t="shared" ref="E18:S18" si="7">E19/$C$18</f>
        <v>0</v>
      </c>
      <c r="F18" s="14">
        <f t="shared" si="7"/>
        <v>0</v>
      </c>
      <c r="G18" s="14">
        <f t="shared" si="7"/>
        <v>0</v>
      </c>
      <c r="H18" s="14">
        <f t="shared" si="7"/>
        <v>0</v>
      </c>
      <c r="I18" s="14">
        <f t="shared" si="7"/>
        <v>0</v>
      </c>
      <c r="J18" s="14">
        <f t="shared" si="7"/>
        <v>0</v>
      </c>
      <c r="K18" s="14">
        <f t="shared" si="7"/>
        <v>0</v>
      </c>
      <c r="L18" s="14">
        <f t="shared" si="7"/>
        <v>1.6318909412397328E-2</v>
      </c>
      <c r="M18" s="14">
        <f t="shared" si="7"/>
        <v>4.5694852629949066E-2</v>
      </c>
      <c r="N18" s="14">
        <f t="shared" si="7"/>
        <v>8.5397678097429666E-2</v>
      </c>
      <c r="O18" s="14">
        <f t="shared" si="7"/>
        <v>8.392443106408258E-2</v>
      </c>
      <c r="P18" s="14">
        <f t="shared" si="7"/>
        <v>5.7964577592283441E-2</v>
      </c>
      <c r="Q18" s="14">
        <f t="shared" si="7"/>
        <v>0.31479178378453354</v>
      </c>
      <c r="R18" s="14">
        <f t="shared" si="7"/>
        <v>0.31591851802696835</v>
      </c>
      <c r="S18" s="14">
        <f t="shared" si="7"/>
        <v>7.9989280619413516E-2</v>
      </c>
      <c r="T18" s="8">
        <f>T19/C18</f>
        <v>1</v>
      </c>
      <c r="U18" s="9"/>
    </row>
    <row r="19" spans="1:21" ht="13.2" x14ac:dyDescent="0.3">
      <c r="A19" s="46"/>
      <c r="B19" s="48"/>
      <c r="C19" s="50"/>
      <c r="D19" s="11">
        <f>SUM('[5]PROJ. RECEITA $'!J148:J193)</f>
        <v>0</v>
      </c>
      <c r="E19" s="11">
        <f>SUM('[5]PROJ. RECEITA $'!K148:K193)</f>
        <v>0</v>
      </c>
      <c r="F19" s="11">
        <f>SUM('[5]PROJ. RECEITA $'!L148:L193)</f>
        <v>0</v>
      </c>
      <c r="G19" s="11">
        <f>SUM('[5]PROJ. RECEITA $'!M148:M193)</f>
        <v>0</v>
      </c>
      <c r="H19" s="11">
        <f>SUM('[5]PROJ. RECEITA $'!N148:N193)</f>
        <v>0</v>
      </c>
      <c r="I19" s="11">
        <f>SUM('[5]PROJ. RECEITA $'!O148:O193)</f>
        <v>0</v>
      </c>
      <c r="J19" s="11">
        <f>SUM('[5]PROJ. RECEITA $'!P148:P193)</f>
        <v>0</v>
      </c>
      <c r="K19" s="11">
        <f>SUM('[5]PROJ. RECEITA $'!Q148:Q193)</f>
        <v>0</v>
      </c>
      <c r="L19" s="11">
        <f>SUM('[5]PROJ. RECEITA $'!R148:R193)</f>
        <v>47109.287022709468</v>
      </c>
      <c r="M19" s="11">
        <f>SUM('[5]PROJ. RECEITA $'!S148:S193)</f>
        <v>131911.50668250729</v>
      </c>
      <c r="N19" s="11">
        <f>SUM('[5]PROJ. RECEITA $'!T148:T193)</f>
        <v>246525.28100367475</v>
      </c>
      <c r="O19" s="11">
        <f>SUM('[5]PROJ. RECEITA $'!U148:U193)</f>
        <v>242272.3241671978</v>
      </c>
      <c r="P19" s="11">
        <f>SUM('[5]PROJ. RECEITA $'!V148:V193)</f>
        <v>167331.64293874498</v>
      </c>
      <c r="Q19" s="11">
        <f>SUM('[5]PROJ. RECEITA $'!W148:W193)</f>
        <v>908738.20792401512</v>
      </c>
      <c r="R19" s="11">
        <f>SUM('[5]PROJ. RECEITA $'!X148:X193)</f>
        <v>911990.85462262679</v>
      </c>
      <c r="S19" s="11">
        <f>SUM('[5]PROJ. RECEITA $'!Y148:Y193)</f>
        <v>230912.36578452398</v>
      </c>
      <c r="T19" s="12">
        <f>C18-SUMIFS(D19:S19,$D$1:$S$1,1)</f>
        <v>2886791.38</v>
      </c>
      <c r="U19" s="13"/>
    </row>
    <row r="20" spans="1:21" s="10" customFormat="1" ht="13.2" x14ac:dyDescent="0.3">
      <c r="A20" s="45" t="s">
        <v>51</v>
      </c>
      <c r="B20" s="47" t="s">
        <v>52</v>
      </c>
      <c r="C20" s="49">
        <v>466537.75999999995</v>
      </c>
      <c r="D20" s="14">
        <f>D21/$C$20</f>
        <v>0</v>
      </c>
      <c r="E20" s="14">
        <f t="shared" ref="E20:S20" si="8">E21/$C$20</f>
        <v>0</v>
      </c>
      <c r="F20" s="14">
        <f t="shared" si="8"/>
        <v>0</v>
      </c>
      <c r="G20" s="14">
        <f t="shared" si="8"/>
        <v>0</v>
      </c>
      <c r="H20" s="14">
        <f t="shared" si="8"/>
        <v>0</v>
      </c>
      <c r="I20" s="14">
        <f t="shared" si="8"/>
        <v>0</v>
      </c>
      <c r="J20" s="14">
        <f t="shared" si="8"/>
        <v>0</v>
      </c>
      <c r="K20" s="14">
        <f t="shared" si="8"/>
        <v>0</v>
      </c>
      <c r="L20" s="14">
        <f t="shared" si="8"/>
        <v>0</v>
      </c>
      <c r="M20" s="14">
        <f t="shared" si="8"/>
        <v>0</v>
      </c>
      <c r="N20" s="14">
        <f t="shared" si="8"/>
        <v>0</v>
      </c>
      <c r="O20" s="14">
        <f t="shared" si="8"/>
        <v>0</v>
      </c>
      <c r="P20" s="14">
        <f t="shared" si="8"/>
        <v>0.13640541121473213</v>
      </c>
      <c r="Q20" s="14">
        <f t="shared" si="8"/>
        <v>0.28410137857865997</v>
      </c>
      <c r="R20" s="14">
        <f t="shared" si="8"/>
        <v>0.54539196050283267</v>
      </c>
      <c r="S20" s="14">
        <f t="shared" si="8"/>
        <v>3.4101352803683031E-2</v>
      </c>
      <c r="T20" s="8">
        <f>T21/C20</f>
        <v>1</v>
      </c>
      <c r="U20" s="9"/>
    </row>
    <row r="21" spans="1:21" ht="13.2" x14ac:dyDescent="0.3">
      <c r="A21" s="46"/>
      <c r="B21" s="48"/>
      <c r="C21" s="50"/>
      <c r="D21" s="11">
        <f>SUM('[5]PROJ. RECEITA $'!J196:J236)</f>
        <v>0</v>
      </c>
      <c r="E21" s="11">
        <f>SUM('[5]PROJ. RECEITA $'!K196:K236)</f>
        <v>0</v>
      </c>
      <c r="F21" s="11">
        <f>SUM('[5]PROJ. RECEITA $'!L196:L236)</f>
        <v>0</v>
      </c>
      <c r="G21" s="11">
        <f>SUM('[5]PROJ. RECEITA $'!M196:M236)</f>
        <v>0</v>
      </c>
      <c r="H21" s="11">
        <f>SUM('[5]PROJ. RECEITA $'!N196:N236)</f>
        <v>0</v>
      </c>
      <c r="I21" s="11">
        <f>SUM('[5]PROJ. RECEITA $'!O196:O236)</f>
        <v>0</v>
      </c>
      <c r="J21" s="11">
        <f>SUM('[5]PROJ. RECEITA $'!P196:P236)</f>
        <v>0</v>
      </c>
      <c r="K21" s="11">
        <f>SUM('[5]PROJ. RECEITA $'!Q196:Q236)</f>
        <v>0</v>
      </c>
      <c r="L21" s="11">
        <f>SUM('[5]PROJ. RECEITA $'!R196:R236)</f>
        <v>0</v>
      </c>
      <c r="M21" s="11">
        <f>SUM('[5]PROJ. RECEITA $'!S196:S236)</f>
        <v>0</v>
      </c>
      <c r="N21" s="11">
        <f>SUM('[5]PROJ. RECEITA $'!T196:T236)</f>
        <v>0</v>
      </c>
      <c r="O21" s="11">
        <f>SUM('[5]PROJ. RECEITA $'!U196:U236)</f>
        <v>0</v>
      </c>
      <c r="P21" s="11">
        <f>SUM('[5]PROJ. RECEITA $'!V196:V236)</f>
        <v>63638.274999999994</v>
      </c>
      <c r="Q21" s="11">
        <f>SUM('[5]PROJ. RECEITA $'!W196:W236)</f>
        <v>132544.02077499998</v>
      </c>
      <c r="R21" s="11">
        <f>SUM('[5]PROJ. RECEITA $'!X196:X236)</f>
        <v>254445.94357500001</v>
      </c>
      <c r="S21" s="11">
        <f>SUM('[5]PROJ. RECEITA $'!Y196:Y236)</f>
        <v>15909.568749999999</v>
      </c>
      <c r="T21" s="12">
        <f>C20-SUMIFS(D21:S21,$D$1:$S$1,1)</f>
        <v>466537.75999999995</v>
      </c>
      <c r="U21" s="13"/>
    </row>
    <row r="22" spans="1:21" s="10" customFormat="1" ht="13.2" x14ac:dyDescent="0.3">
      <c r="A22" s="45" t="s">
        <v>53</v>
      </c>
      <c r="B22" s="47" t="s">
        <v>54</v>
      </c>
      <c r="C22" s="49">
        <v>179753.15</v>
      </c>
      <c r="D22" s="14">
        <f>D23/$C$22</f>
        <v>0</v>
      </c>
      <c r="E22" s="14">
        <f t="shared" ref="E22:S22" si="9">E23/$C$22</f>
        <v>0</v>
      </c>
      <c r="F22" s="14">
        <f t="shared" si="9"/>
        <v>0</v>
      </c>
      <c r="G22" s="14">
        <f t="shared" si="9"/>
        <v>0</v>
      </c>
      <c r="H22" s="14">
        <f t="shared" si="9"/>
        <v>0</v>
      </c>
      <c r="I22" s="14">
        <f t="shared" si="9"/>
        <v>0</v>
      </c>
      <c r="J22" s="14">
        <f t="shared" si="9"/>
        <v>0</v>
      </c>
      <c r="K22" s="14">
        <f t="shared" si="9"/>
        <v>0</v>
      </c>
      <c r="L22" s="14">
        <f t="shared" si="9"/>
        <v>0</v>
      </c>
      <c r="M22" s="14">
        <f t="shared" si="9"/>
        <v>0</v>
      </c>
      <c r="N22" s="14">
        <f t="shared" si="9"/>
        <v>0</v>
      </c>
      <c r="O22" s="14">
        <f t="shared" si="9"/>
        <v>0</v>
      </c>
      <c r="P22" s="14">
        <f t="shared" si="9"/>
        <v>0.17912303218597417</v>
      </c>
      <c r="Q22" s="14">
        <f t="shared" si="9"/>
        <v>0.21043849603007991</v>
      </c>
      <c r="R22" s="14">
        <f t="shared" si="9"/>
        <v>0.26758138235768797</v>
      </c>
      <c r="S22" s="14">
        <f t="shared" si="9"/>
        <v>0.34285716119134241</v>
      </c>
      <c r="T22" s="8">
        <f>T23/C22</f>
        <v>1</v>
      </c>
      <c r="U22" s="9"/>
    </row>
    <row r="23" spans="1:21" ht="13.2" x14ac:dyDescent="0.3">
      <c r="A23" s="46"/>
      <c r="B23" s="48"/>
      <c r="C23" s="50"/>
      <c r="D23" s="11">
        <f>SUM('[5]PROJ. RECEITA $'!J238:J243)</f>
        <v>0</v>
      </c>
      <c r="E23" s="11">
        <f>SUM('[5]PROJ. RECEITA $'!K238:K243)</f>
        <v>0</v>
      </c>
      <c r="F23" s="11">
        <f>SUM('[5]PROJ. RECEITA $'!L238:L243)</f>
        <v>0</v>
      </c>
      <c r="G23" s="11">
        <f>SUM('[5]PROJ. RECEITA $'!M238:M243)</f>
        <v>0</v>
      </c>
      <c r="H23" s="11">
        <f>SUM('[5]PROJ. RECEITA $'!N238:N243)</f>
        <v>0</v>
      </c>
      <c r="I23" s="11">
        <f>SUM('[5]PROJ. RECEITA $'!O238:O243)</f>
        <v>0</v>
      </c>
      <c r="J23" s="11">
        <f>SUM('[5]PROJ. RECEITA $'!P238:P243)</f>
        <v>0</v>
      </c>
      <c r="K23" s="11">
        <f>SUM('[5]PROJ. RECEITA $'!Q238:Q243)</f>
        <v>0</v>
      </c>
      <c r="L23" s="11">
        <f>SUM('[5]PROJ. RECEITA $'!R238:R243)</f>
        <v>0</v>
      </c>
      <c r="M23" s="11">
        <f>SUM('[5]PROJ. RECEITA $'!S238:S243)</f>
        <v>0</v>
      </c>
      <c r="N23" s="11">
        <f>SUM('[5]PROJ. RECEITA $'!T238:T243)</f>
        <v>0</v>
      </c>
      <c r="O23" s="11">
        <f>SUM('[5]PROJ. RECEITA $'!U238:U243)</f>
        <v>0</v>
      </c>
      <c r="P23" s="11">
        <f>SUM('[5]PROJ. RECEITA $'!V238:V243)</f>
        <v>32197.92927298024</v>
      </c>
      <c r="Q23" s="11">
        <f>SUM('[5]PROJ. RECEITA $'!W238:W243)</f>
        <v>37826.982542669357</v>
      </c>
      <c r="R23" s="11">
        <f>SUM('[5]PROJ. RECEITA $'!X238:X243)</f>
        <v>48098.596360148833</v>
      </c>
      <c r="S23" s="11">
        <f>SUM('[5]PROJ. RECEITA $'!Y238:Y243)</f>
        <v>61629.654724201551</v>
      </c>
      <c r="T23" s="12">
        <f>C22-SUMIFS(D23:S23,$D$1:$S$1,1)</f>
        <v>179753.15</v>
      </c>
      <c r="U23" s="13"/>
    </row>
    <row r="24" spans="1:21" s="10" customFormat="1" ht="13.2" x14ac:dyDescent="0.3">
      <c r="A24" s="45" t="s">
        <v>55</v>
      </c>
      <c r="B24" s="47" t="s">
        <v>56</v>
      </c>
      <c r="C24" s="49">
        <v>3069399.38</v>
      </c>
      <c r="D24" s="14">
        <f>D25/$C$24</f>
        <v>0</v>
      </c>
      <c r="E24" s="14">
        <f t="shared" ref="E24:S24" si="10">E25/$C$24</f>
        <v>0</v>
      </c>
      <c r="F24" s="14">
        <f t="shared" si="10"/>
        <v>0</v>
      </c>
      <c r="G24" s="14">
        <f t="shared" si="10"/>
        <v>0</v>
      </c>
      <c r="H24" s="14">
        <f t="shared" si="10"/>
        <v>0</v>
      </c>
      <c r="I24" s="14">
        <f t="shared" si="10"/>
        <v>0</v>
      </c>
      <c r="J24" s="14">
        <f t="shared" si="10"/>
        <v>0</v>
      </c>
      <c r="K24" s="14">
        <f t="shared" si="10"/>
        <v>0</v>
      </c>
      <c r="L24" s="14">
        <f t="shared" si="10"/>
        <v>4.0037666258321392E-2</v>
      </c>
      <c r="M24" s="14">
        <f t="shared" si="10"/>
        <v>0.10100010208299866</v>
      </c>
      <c r="N24" s="14">
        <f t="shared" si="10"/>
        <v>3.8723544456824882E-2</v>
      </c>
      <c r="O24" s="14">
        <f t="shared" si="10"/>
        <v>0.31141684256982866</v>
      </c>
      <c r="P24" s="14">
        <f t="shared" si="10"/>
        <v>0.11282010755844986</v>
      </c>
      <c r="Q24" s="14">
        <f t="shared" si="10"/>
        <v>0.10199344156874481</v>
      </c>
      <c r="R24" s="14">
        <f t="shared" si="10"/>
        <v>0.10721887172189416</v>
      </c>
      <c r="S24" s="14">
        <f t="shared" si="10"/>
        <v>0.18678942928890066</v>
      </c>
      <c r="T24" s="8">
        <f>T25/C24</f>
        <v>1</v>
      </c>
      <c r="U24" s="9"/>
    </row>
    <row r="25" spans="1:21" ht="13.2" x14ac:dyDescent="0.3">
      <c r="A25" s="46"/>
      <c r="B25" s="48"/>
      <c r="C25" s="50"/>
      <c r="D25" s="11">
        <f>SUM('[5]PROJ. RECEITA $'!J246:J311)</f>
        <v>0</v>
      </c>
      <c r="E25" s="11">
        <f>SUM('[5]PROJ. RECEITA $'!K246:K311)</f>
        <v>0</v>
      </c>
      <c r="F25" s="11">
        <f>SUM('[5]PROJ. RECEITA $'!L246:L311)</f>
        <v>0</v>
      </c>
      <c r="G25" s="11">
        <f>SUM('[5]PROJ. RECEITA $'!M246:M311)</f>
        <v>0</v>
      </c>
      <c r="H25" s="11">
        <f>SUM('[5]PROJ. RECEITA $'!N246:N311)</f>
        <v>0</v>
      </c>
      <c r="I25" s="11">
        <f>SUM('[5]PROJ. RECEITA $'!O246:O311)</f>
        <v>0</v>
      </c>
      <c r="J25" s="11">
        <f>SUM('[5]PROJ. RECEITA $'!P246:P311)</f>
        <v>0</v>
      </c>
      <c r="K25" s="11">
        <f>SUM('[5]PROJ. RECEITA $'!Q246:Q311)</f>
        <v>0</v>
      </c>
      <c r="L25" s="11">
        <f>SUM('[5]PROJ. RECEITA $'!R246:R311)</f>
        <v>122891.58798993859</v>
      </c>
      <c r="M25" s="11">
        <f>SUM('[5]PROJ. RECEITA $'!S246:S311)</f>
        <v>310009.65071349277</v>
      </c>
      <c r="N25" s="11">
        <f>SUM('[5]PROJ. RECEITA $'!T246:T311)</f>
        <v>118858.02334718073</v>
      </c>
      <c r="O25" s="11">
        <f>SUM('[5]PROJ. RECEITA $'!U246:U311)</f>
        <v>955862.6635053897</v>
      </c>
      <c r="P25" s="11">
        <f>SUM('[5]PROJ. RECEITA $'!V246:V311)</f>
        <v>346289.96819143929</v>
      </c>
      <c r="Q25" s="11">
        <f>SUM('[5]PROJ. RECEITA $'!W246:W311)</f>
        <v>313058.60631517152</v>
      </c>
      <c r="R25" s="11">
        <f>SUM('[5]PROJ. RECEITA $'!X246:X311)</f>
        <v>329097.53838748147</v>
      </c>
      <c r="S25" s="11">
        <f>SUM('[5]PROJ. RECEITA $'!Y246:Y311)</f>
        <v>573331.35844990553</v>
      </c>
      <c r="T25" s="12">
        <f>C24-SUMIFS(D25:S25,$D$1:$S$1,1)</f>
        <v>3069399.38</v>
      </c>
      <c r="U25" s="13"/>
    </row>
    <row r="26" spans="1:21" s="10" customFormat="1" ht="13.2" x14ac:dyDescent="0.3">
      <c r="A26" s="45" t="s">
        <v>57</v>
      </c>
      <c r="B26" s="47" t="s">
        <v>58</v>
      </c>
      <c r="C26" s="49">
        <v>4169765.410000002</v>
      </c>
      <c r="D26" s="14">
        <f>D27/$C$26</f>
        <v>0</v>
      </c>
      <c r="E26" s="14">
        <f t="shared" ref="E26:T26" si="11">E27/$C$26</f>
        <v>0</v>
      </c>
      <c r="F26" s="14">
        <f t="shared" si="11"/>
        <v>0</v>
      </c>
      <c r="G26" s="14">
        <f t="shared" si="11"/>
        <v>0</v>
      </c>
      <c r="H26" s="14">
        <f t="shared" si="11"/>
        <v>1.2035928898935342E-3</v>
      </c>
      <c r="I26" s="14">
        <f t="shared" si="11"/>
        <v>0</v>
      </c>
      <c r="J26" s="14">
        <f t="shared" si="11"/>
        <v>1.8013644175744213E-2</v>
      </c>
      <c r="K26" s="14">
        <f t="shared" si="11"/>
        <v>1.420009862841128E-3</v>
      </c>
      <c r="L26" s="14">
        <f t="shared" si="11"/>
        <v>5.0578855857187043E-3</v>
      </c>
      <c r="M26" s="14">
        <f t="shared" si="11"/>
        <v>5.1780965896878292E-2</v>
      </c>
      <c r="N26" s="14">
        <f t="shared" si="11"/>
        <v>0.1314464406507582</v>
      </c>
      <c r="O26" s="14">
        <f t="shared" si="11"/>
        <v>0.11331048382868053</v>
      </c>
      <c r="P26" s="14">
        <f t="shared" si="11"/>
        <v>0.46024678007983505</v>
      </c>
      <c r="Q26" s="14">
        <f t="shared" si="11"/>
        <v>0.11362425562653208</v>
      </c>
      <c r="R26" s="14">
        <f t="shared" si="11"/>
        <v>6.9432338175589262E-2</v>
      </c>
      <c r="S26" s="14">
        <f t="shared" si="11"/>
        <v>3.4463608503604616E-2</v>
      </c>
      <c r="T26" s="14">
        <f t="shared" si="11"/>
        <v>1</v>
      </c>
      <c r="U26" s="9"/>
    </row>
    <row r="27" spans="1:21" ht="13.2" x14ac:dyDescent="0.3">
      <c r="A27" s="46"/>
      <c r="B27" s="48"/>
      <c r="C27" s="50"/>
      <c r="D27" s="11">
        <f>SUM('[5]PROJ. RECEITA $'!J314:J559)</f>
        <v>0</v>
      </c>
      <c r="E27" s="11">
        <f>SUM('[5]PROJ. RECEITA $'!K314:K559)</f>
        <v>0</v>
      </c>
      <c r="F27" s="11">
        <f>SUM('[5]PROJ. RECEITA $'!L314:L559)</f>
        <v>0</v>
      </c>
      <c r="G27" s="11">
        <f>SUM('[5]PROJ. RECEITA $'!M314:M559)</f>
        <v>0</v>
      </c>
      <c r="H27" s="11">
        <f>SUM('[5]PROJ. RECEITA $'!N314:N559)</f>
        <v>5018.7</v>
      </c>
      <c r="I27" s="11">
        <f>SUM('[5]PROJ. RECEITA $'!O314:O559)</f>
        <v>0</v>
      </c>
      <c r="J27" s="11">
        <f>SUM('[5]PROJ. RECEITA $'!P314:P559)</f>
        <v>75112.670392066211</v>
      </c>
      <c r="K27" s="11">
        <f>SUM('[5]PROJ. RECEITA $'!Q314:Q559)</f>
        <v>5921.1080079337826</v>
      </c>
      <c r="L27" s="11">
        <f>SUM('[5]PROJ. RECEITA $'!R314:R559)</f>
        <v>21090.196363067455</v>
      </c>
      <c r="M27" s="11">
        <f>SUM('[5]PROJ. RECEITA $'!S314:S559)</f>
        <v>215914.48049319282</v>
      </c>
      <c r="N27" s="11">
        <f>SUM('[5]PROJ. RECEITA $'!T314:T559)</f>
        <v>548100.82149314962</v>
      </c>
      <c r="O27" s="11">
        <f>SUM('[5]PROJ. RECEITA $'!U314:U559)</f>
        <v>472478.13605919667</v>
      </c>
      <c r="P27" s="11">
        <f>SUM('[5]PROJ. RECEITA $'!V314:V559)</f>
        <v>1919121.1036407743</v>
      </c>
      <c r="Q27" s="11">
        <f>SUM('[5]PROJ. RECEITA $'!W314:W559)</f>
        <v>473786.49084851157</v>
      </c>
      <c r="R27" s="11">
        <f>SUM('[5]PROJ. RECEITA $'!X314:X559)</f>
        <v>289516.56205999473</v>
      </c>
      <c r="S27" s="11">
        <f>SUM('[5]PROJ. RECEITA $'!Y314:Y559)</f>
        <v>143705.16264211247</v>
      </c>
      <c r="T27" s="12">
        <f>C26-SUMIFS(D27:S27,$D$1:$S$1,1)</f>
        <v>4169765.410000002</v>
      </c>
      <c r="U27" s="13"/>
    </row>
    <row r="28" spans="1:21" s="10" customFormat="1" ht="13.2" x14ac:dyDescent="0.3">
      <c r="A28" s="45" t="s">
        <v>59</v>
      </c>
      <c r="B28" s="47" t="s">
        <v>60</v>
      </c>
      <c r="C28" s="49">
        <v>716788.98999999964</v>
      </c>
      <c r="D28" s="14">
        <f>D29/$C$28</f>
        <v>0</v>
      </c>
      <c r="E28" s="14">
        <f t="shared" ref="E28:S28" si="12">E29/$C$28</f>
        <v>0</v>
      </c>
      <c r="F28" s="14">
        <f t="shared" si="12"/>
        <v>0</v>
      </c>
      <c r="G28" s="14">
        <f t="shared" si="12"/>
        <v>0</v>
      </c>
      <c r="H28" s="14">
        <f t="shared" si="12"/>
        <v>0</v>
      </c>
      <c r="I28" s="14">
        <f t="shared" si="12"/>
        <v>0</v>
      </c>
      <c r="J28" s="14">
        <f t="shared" si="12"/>
        <v>0</v>
      </c>
      <c r="K28" s="14">
        <f t="shared" si="12"/>
        <v>0</v>
      </c>
      <c r="L28" s="14">
        <f t="shared" si="12"/>
        <v>5.7058885015780518E-3</v>
      </c>
      <c r="M28" s="14">
        <f t="shared" si="12"/>
        <v>7.431252514106465E-2</v>
      </c>
      <c r="N28" s="14">
        <f t="shared" si="12"/>
        <v>0.10559083152169428</v>
      </c>
      <c r="O28" s="14">
        <f t="shared" si="12"/>
        <v>0.13657766938051141</v>
      </c>
      <c r="P28" s="14">
        <f t="shared" si="12"/>
        <v>0.13890608628602558</v>
      </c>
      <c r="Q28" s="14">
        <f t="shared" si="12"/>
        <v>0.35796897633709479</v>
      </c>
      <c r="R28" s="14">
        <f t="shared" si="12"/>
        <v>9.8717148264233279E-2</v>
      </c>
      <c r="S28" s="14">
        <f t="shared" si="12"/>
        <v>8.2220874567798322E-2</v>
      </c>
      <c r="T28" s="8">
        <f>T29/C28</f>
        <v>1</v>
      </c>
      <c r="U28" s="9"/>
    </row>
    <row r="29" spans="1:21" ht="13.2" x14ac:dyDescent="0.3">
      <c r="A29" s="46"/>
      <c r="B29" s="48"/>
      <c r="C29" s="50"/>
      <c r="D29" s="11">
        <f>SUM('[5]PROJ. RECEITA $'!J562:J663)</f>
        <v>0</v>
      </c>
      <c r="E29" s="11">
        <f>SUM('[5]PROJ. RECEITA $'!K562:K663)</f>
        <v>0</v>
      </c>
      <c r="F29" s="11">
        <f>SUM('[5]PROJ. RECEITA $'!L562:L663)</f>
        <v>0</v>
      </c>
      <c r="G29" s="11">
        <f>SUM('[5]PROJ. RECEITA $'!M562:M663)</f>
        <v>0</v>
      </c>
      <c r="H29" s="11">
        <f>SUM('[5]PROJ. RECEITA $'!N562:N663)</f>
        <v>0</v>
      </c>
      <c r="I29" s="11">
        <f>SUM('[5]PROJ. RECEITA $'!O562:O663)</f>
        <v>0</v>
      </c>
      <c r="J29" s="11">
        <f>SUM('[5]PROJ. RECEITA $'!P562:P663)</f>
        <v>0</v>
      </c>
      <c r="K29" s="11">
        <f>SUM('[5]PROJ. RECEITA $'!Q562:Q663)</f>
        <v>0</v>
      </c>
      <c r="L29" s="11">
        <f>SUM('[5]PROJ. RECEITA $'!R562:R663)</f>
        <v>4089.9180560987434</v>
      </c>
      <c r="M29" s="11">
        <f>SUM('[5]PROJ. RECEITA $'!S562:S663)</f>
        <v>53266.399840213315</v>
      </c>
      <c r="N29" s="11">
        <f>SUM('[5]PROJ. RECEITA $'!T562:T663)</f>
        <v>75686.345479695374</v>
      </c>
      <c r="O29" s="11">
        <f>SUM('[5]PROJ. RECEITA $'!U562:U663)</f>
        <v>97897.369691810643</v>
      </c>
      <c r="P29" s="11">
        <f>SUM('[5]PROJ. RECEITA $'!V562:V663)</f>
        <v>99566.353293813081</v>
      </c>
      <c r="Q29" s="11">
        <f>SUM('[5]PROJ. RECEITA $'!W562:W663)</f>
        <v>256588.22099999996</v>
      </c>
      <c r="R29" s="11">
        <f>SUM('[5]PROJ. RECEITA $'!X562:X663)</f>
        <v>70759.364999999991</v>
      </c>
      <c r="S29" s="11">
        <f>SUM('[5]PROJ. RECEITA $'!Y562:Y663)</f>
        <v>58935.017638368816</v>
      </c>
      <c r="T29" s="12">
        <f>C28-SUMIFS(D29:S29,$D$1:$S$1,1)</f>
        <v>716788.98999999964</v>
      </c>
      <c r="U29" s="13"/>
    </row>
    <row r="30" spans="1:21" s="10" customFormat="1" ht="13.2" x14ac:dyDescent="0.3">
      <c r="A30" s="45">
        <v>13</v>
      </c>
      <c r="B30" s="47" t="s">
        <v>61</v>
      </c>
      <c r="C30" s="49">
        <v>585530.76000000013</v>
      </c>
      <c r="D30" s="14">
        <f>D31/$C$30</f>
        <v>0</v>
      </c>
      <c r="E30" s="14">
        <f t="shared" ref="E30:S30" si="13">E31/$C$30</f>
        <v>0</v>
      </c>
      <c r="F30" s="14">
        <f t="shared" si="13"/>
        <v>0</v>
      </c>
      <c r="G30" s="14">
        <f t="shared" si="13"/>
        <v>0</v>
      </c>
      <c r="H30" s="14">
        <f t="shared" si="13"/>
        <v>0</v>
      </c>
      <c r="I30" s="14">
        <f t="shared" si="13"/>
        <v>0</v>
      </c>
      <c r="J30" s="14">
        <f t="shared" si="13"/>
        <v>0</v>
      </c>
      <c r="K30" s="14">
        <f t="shared" si="13"/>
        <v>0</v>
      </c>
      <c r="L30" s="14">
        <f t="shared" si="13"/>
        <v>2.990623231150763E-2</v>
      </c>
      <c r="M30" s="14">
        <f t="shared" si="13"/>
        <v>0.318853687772789</v>
      </c>
      <c r="N30" s="14">
        <f t="shared" si="13"/>
        <v>4.2071459368521781E-2</v>
      </c>
      <c r="O30" s="14">
        <f t="shared" si="13"/>
        <v>2.3899558080779898E-2</v>
      </c>
      <c r="P30" s="14">
        <f t="shared" si="13"/>
        <v>0.18187904747804812</v>
      </c>
      <c r="Q30" s="14">
        <f t="shared" si="13"/>
        <v>4.6732510607200288E-2</v>
      </c>
      <c r="R30" s="14">
        <f t="shared" si="13"/>
        <v>3.4302444958940602E-2</v>
      </c>
      <c r="S30" s="14">
        <f t="shared" si="13"/>
        <v>0.3223550686446145</v>
      </c>
      <c r="T30" s="8">
        <f>T31/C30</f>
        <v>1</v>
      </c>
      <c r="U30" s="9"/>
    </row>
    <row r="31" spans="1:21" ht="13.2" x14ac:dyDescent="0.3">
      <c r="A31" s="46"/>
      <c r="B31" s="48"/>
      <c r="C31" s="50"/>
      <c r="D31" s="11">
        <f>SUM('[5]PROJ. RECEITA $'!J665:J690)</f>
        <v>0</v>
      </c>
      <c r="E31" s="11">
        <f>SUM('[5]PROJ. RECEITA $'!K665:K690)</f>
        <v>0</v>
      </c>
      <c r="F31" s="11">
        <f>SUM('[5]PROJ. RECEITA $'!L665:L690)</f>
        <v>0</v>
      </c>
      <c r="G31" s="11">
        <f>SUM('[5]PROJ. RECEITA $'!M665:M690)</f>
        <v>0</v>
      </c>
      <c r="H31" s="11">
        <f>SUM('[5]PROJ. RECEITA $'!N665:N690)</f>
        <v>0</v>
      </c>
      <c r="I31" s="11">
        <f>SUM('[5]PROJ. RECEITA $'!O665:O690)</f>
        <v>0</v>
      </c>
      <c r="J31" s="11">
        <f>SUM('[5]PROJ. RECEITA $'!P665:P690)</f>
        <v>0</v>
      </c>
      <c r="K31" s="11">
        <f>SUM('[5]PROJ. RECEITA $'!Q665:Q690)</f>
        <v>0</v>
      </c>
      <c r="L31" s="11">
        <f>SUM('[5]PROJ. RECEITA $'!R665:R690)</f>
        <v>17511.018934093623</v>
      </c>
      <c r="M31" s="11">
        <f>SUM('[5]PROJ. RECEITA $'!S665:S690)</f>
        <v>186698.6421304039</v>
      </c>
      <c r="N31" s="11">
        <f>SUM('[5]PROJ. RECEITA $'!T665:T690)</f>
        <v>24634.133578359684</v>
      </c>
      <c r="O31" s="11">
        <f>SUM('[5]PROJ. RECEITA $'!U665:U690)</f>
        <v>13993.926406703198</v>
      </c>
      <c r="P31" s="11">
        <f>SUM('[5]PROJ. RECEITA $'!V665:V690)</f>
        <v>106495.77689789762</v>
      </c>
      <c r="Q31" s="11">
        <f>SUM('[5]PROJ. RECEITA $'!W665:W690)</f>
        <v>27363.322452542052</v>
      </c>
      <c r="R31" s="11">
        <f>SUM('[5]PROJ. RECEITA $'!X665:X690)</f>
        <v>20085.136666666665</v>
      </c>
      <c r="S31" s="11">
        <f>SUM('[5]PROJ. RECEITA $'!Y665:Y690)</f>
        <v>188748.80833333332</v>
      </c>
      <c r="T31" s="12">
        <f>C30-SUMIFS(D31:S31,$D$1:$S$1,1)</f>
        <v>585530.76000000013</v>
      </c>
      <c r="U31" s="13"/>
    </row>
    <row r="32" spans="1:21" s="10" customFormat="1" ht="13.2" x14ac:dyDescent="0.3">
      <c r="A32" s="45">
        <v>14</v>
      </c>
      <c r="B32" s="47" t="s">
        <v>62</v>
      </c>
      <c r="C32" s="49">
        <v>855341.38</v>
      </c>
      <c r="D32" s="14">
        <f>D33/$C$32</f>
        <v>0</v>
      </c>
      <c r="E32" s="14">
        <f t="shared" ref="E32:S32" si="14">E33/$C$32</f>
        <v>0</v>
      </c>
      <c r="F32" s="14">
        <f t="shared" si="14"/>
        <v>0</v>
      </c>
      <c r="G32" s="14">
        <f t="shared" si="14"/>
        <v>0</v>
      </c>
      <c r="H32" s="14">
        <f t="shared" si="14"/>
        <v>0</v>
      </c>
      <c r="I32" s="14">
        <f t="shared" si="14"/>
        <v>0</v>
      </c>
      <c r="J32" s="14">
        <f t="shared" si="14"/>
        <v>0</v>
      </c>
      <c r="K32" s="14">
        <f t="shared" si="14"/>
        <v>0</v>
      </c>
      <c r="L32" s="14">
        <f t="shared" si="14"/>
        <v>0</v>
      </c>
      <c r="M32" s="14">
        <f t="shared" si="14"/>
        <v>0</v>
      </c>
      <c r="N32" s="14">
        <f t="shared" si="14"/>
        <v>0</v>
      </c>
      <c r="O32" s="14">
        <f t="shared" si="14"/>
        <v>0.22946728549361184</v>
      </c>
      <c r="P32" s="14">
        <f t="shared" si="14"/>
        <v>0.14874069593585298</v>
      </c>
      <c r="Q32" s="14">
        <f t="shared" si="14"/>
        <v>0.20136016008526655</v>
      </c>
      <c r="R32" s="14">
        <f t="shared" si="14"/>
        <v>0.21453537173135254</v>
      </c>
      <c r="S32" s="14">
        <f t="shared" si="14"/>
        <v>0.20589656899125616</v>
      </c>
      <c r="T32" s="8">
        <f>T33/C32</f>
        <v>1</v>
      </c>
      <c r="U32" s="9"/>
    </row>
    <row r="33" spans="1:22" ht="13.2" x14ac:dyDescent="0.3">
      <c r="A33" s="46"/>
      <c r="B33" s="48"/>
      <c r="C33" s="50"/>
      <c r="D33" s="11">
        <f>SUM('[5]PROJ. RECEITA $'!J692:J704)</f>
        <v>0</v>
      </c>
      <c r="E33" s="11">
        <f>SUM('[5]PROJ. RECEITA $'!K692:K704)</f>
        <v>0</v>
      </c>
      <c r="F33" s="11">
        <f>SUM('[5]PROJ. RECEITA $'!L692:L704)</f>
        <v>0</v>
      </c>
      <c r="G33" s="11">
        <f>SUM('[5]PROJ. RECEITA $'!M692:M704)</f>
        <v>0</v>
      </c>
      <c r="H33" s="11">
        <f>SUM('[5]PROJ. RECEITA $'!N692:N704)</f>
        <v>0</v>
      </c>
      <c r="I33" s="11">
        <f>SUM('[5]PROJ. RECEITA $'!O692:O704)</f>
        <v>0</v>
      </c>
      <c r="J33" s="11">
        <f>SUM('[5]PROJ. RECEITA $'!P692:P704)</f>
        <v>0</v>
      </c>
      <c r="K33" s="11">
        <f>SUM('[5]PROJ. RECEITA $'!Q692:Q704)</f>
        <v>0</v>
      </c>
      <c r="L33" s="11">
        <f>SUM('[5]PROJ. RECEITA $'!R692:R704)</f>
        <v>0</v>
      </c>
      <c r="M33" s="11">
        <f>SUM('[5]PROJ. RECEITA $'!S692:S704)</f>
        <v>0</v>
      </c>
      <c r="N33" s="11">
        <f>SUM('[5]PROJ. RECEITA $'!T692:T704)</f>
        <v>0</v>
      </c>
      <c r="O33" s="11">
        <f>SUM('[5]PROJ. RECEITA $'!U692:U704)</f>
        <v>196272.86463895993</v>
      </c>
      <c r="P33" s="11">
        <f>SUM('[5]PROJ. RECEITA $'!V692:V704)</f>
        <v>127224.07212393289</v>
      </c>
      <c r="Q33" s="11">
        <f>SUM('[5]PROJ. RECEITA $'!W692:W704)</f>
        <v>172231.6772043528</v>
      </c>
      <c r="R33" s="11">
        <f>SUM('[5]PROJ. RECEITA $'!X692:X704)</f>
        <v>183500.98091550806</v>
      </c>
      <c r="S33" s="11">
        <f>SUM('[5]PROJ. RECEITA $'!Y692:Y704)</f>
        <v>176111.85545824625</v>
      </c>
      <c r="T33" s="12">
        <f>C32-SUMIFS(D33:S33,$D$1:$S$1,1)</f>
        <v>855341.38</v>
      </c>
      <c r="U33" s="13"/>
    </row>
    <row r="34" spans="1:22" s="10" customFormat="1" ht="13.2" x14ac:dyDescent="0.3">
      <c r="A34" s="45">
        <v>15</v>
      </c>
      <c r="B34" s="47" t="s">
        <v>63</v>
      </c>
      <c r="C34" s="49">
        <v>1073265</v>
      </c>
      <c r="D34" s="14">
        <f>D35/$C$34</f>
        <v>3.1601142308749469E-2</v>
      </c>
      <c r="E34" s="14">
        <f t="shared" ref="E34:S34" si="15">E35/$C$34</f>
        <v>0</v>
      </c>
      <c r="F34" s="14">
        <f t="shared" si="15"/>
        <v>6.7716733518748858E-3</v>
      </c>
      <c r="G34" s="14">
        <f t="shared" si="15"/>
        <v>0.38404646670385745</v>
      </c>
      <c r="H34" s="14">
        <f t="shared" si="15"/>
        <v>0.17050509193908306</v>
      </c>
      <c r="I34" s="14">
        <f t="shared" si="15"/>
        <v>8.9095993452767364E-2</v>
      </c>
      <c r="J34" s="14">
        <f t="shared" si="15"/>
        <v>0</v>
      </c>
      <c r="K34" s="14">
        <f t="shared" si="15"/>
        <v>0</v>
      </c>
      <c r="L34" s="14">
        <f t="shared" si="15"/>
        <v>0</v>
      </c>
      <c r="M34" s="14">
        <f t="shared" si="15"/>
        <v>0</v>
      </c>
      <c r="N34" s="14">
        <f t="shared" si="15"/>
        <v>0</v>
      </c>
      <c r="O34" s="14">
        <f t="shared" si="15"/>
        <v>0</v>
      </c>
      <c r="P34" s="14">
        <f t="shared" si="15"/>
        <v>0</v>
      </c>
      <c r="Q34" s="14">
        <f t="shared" si="15"/>
        <v>0</v>
      </c>
      <c r="R34" s="14">
        <f t="shared" si="15"/>
        <v>0</v>
      </c>
      <c r="S34" s="14">
        <f t="shared" si="15"/>
        <v>0.31797965231187075</v>
      </c>
      <c r="T34" s="8">
        <f>T35/C34</f>
        <v>0.57758071763551821</v>
      </c>
      <c r="U34" s="9"/>
    </row>
    <row r="35" spans="1:22" ht="13.2" x14ac:dyDescent="0.3">
      <c r="A35" s="46"/>
      <c r="B35" s="48"/>
      <c r="C35" s="50"/>
      <c r="D35" s="11">
        <f>SUM('[5]PROJ. RECEITA $'!J706:J712)</f>
        <v>33916.400000000001</v>
      </c>
      <c r="E35" s="11">
        <f>SUM('[5]PROJ. RECEITA $'!K706:K712)</f>
        <v>0</v>
      </c>
      <c r="F35" s="11">
        <f>SUM('[5]PROJ. RECEITA $'!L706:L712)</f>
        <v>7267.7999999999993</v>
      </c>
      <c r="G35" s="11">
        <f>SUM('[5]PROJ. RECEITA $'!M706:M712)</f>
        <v>412183.63108691556</v>
      </c>
      <c r="H35" s="11">
        <f>SUM('[5]PROJ. RECEITA $'!N706:N712)</f>
        <v>182997.14749999999</v>
      </c>
      <c r="I35" s="11">
        <f>SUM('[5]PROJ. RECEITA $'!O706:O712)</f>
        <v>95623.611413084363</v>
      </c>
      <c r="J35" s="11">
        <f>SUM('[5]PROJ. RECEITA $'!P706:P712)</f>
        <v>0</v>
      </c>
      <c r="K35" s="11">
        <f>SUM('[5]PROJ. RECEITA $'!Q706:Q712)</f>
        <v>0</v>
      </c>
      <c r="L35" s="11">
        <f>SUM('[5]PROJ. RECEITA $'!R706:R712)</f>
        <v>0</v>
      </c>
      <c r="M35" s="11">
        <f>SUM('[5]PROJ. RECEITA $'!S706:S712)</f>
        <v>0</v>
      </c>
      <c r="N35" s="11">
        <f>SUM('[5]PROJ. RECEITA $'!T706:T712)</f>
        <v>0</v>
      </c>
      <c r="O35" s="11">
        <f>SUM('[5]PROJ. RECEITA $'!U706:U712)</f>
        <v>0</v>
      </c>
      <c r="P35" s="11">
        <f>SUM('[5]PROJ. RECEITA $'!V706:V712)</f>
        <v>0</v>
      </c>
      <c r="Q35" s="11">
        <f>SUM('[5]PROJ. RECEITA $'!W706:W712)</f>
        <v>0</v>
      </c>
      <c r="R35" s="11">
        <f>SUM('[5]PROJ. RECEITA $'!X706:X712)</f>
        <v>0</v>
      </c>
      <c r="S35" s="11">
        <f>SUM('[5]PROJ. RECEITA $'!Y706:Y712)</f>
        <v>341276.43153849995</v>
      </c>
      <c r="T35" s="12">
        <f>C34-SUMIFS(D35:S35,$D$1:$S$1,1)</f>
        <v>619897.16891308443</v>
      </c>
      <c r="U35" s="13"/>
      <c r="V35" s="13"/>
    </row>
    <row r="36" spans="1:22" s="10" customFormat="1" ht="13.2" x14ac:dyDescent="0.3">
      <c r="A36" s="45">
        <v>16</v>
      </c>
      <c r="B36" s="47" t="s">
        <v>64</v>
      </c>
      <c r="C36" s="49">
        <v>2380522.3999999994</v>
      </c>
      <c r="D36" s="14">
        <f>D37/$C$36</f>
        <v>1.817771595007886E-2</v>
      </c>
      <c r="E36" s="14">
        <f t="shared" ref="E36:S36" si="16">E37/$C$36</f>
        <v>0.11815473780040887</v>
      </c>
      <c r="F36" s="14">
        <f t="shared" si="16"/>
        <v>0</v>
      </c>
      <c r="G36" s="14">
        <f t="shared" si="16"/>
        <v>1.5148099425571467E-2</v>
      </c>
      <c r="H36" s="14">
        <f t="shared" si="16"/>
        <v>9.6454668941573529E-5</v>
      </c>
      <c r="I36" s="14">
        <f t="shared" si="16"/>
        <v>1.9290933788314706E-4</v>
      </c>
      <c r="J36" s="14">
        <f t="shared" si="16"/>
        <v>1.9290933788314706E-4</v>
      </c>
      <c r="K36" s="14">
        <f t="shared" si="16"/>
        <v>1.9290933788314706E-4</v>
      </c>
      <c r="L36" s="14">
        <f t="shared" si="16"/>
        <v>2.3986451925371993E-2</v>
      </c>
      <c r="M36" s="14">
        <f t="shared" si="16"/>
        <v>6.0067394658615277E-2</v>
      </c>
      <c r="N36" s="14">
        <f t="shared" si="16"/>
        <v>1.817378281405788E-2</v>
      </c>
      <c r="O36" s="14">
        <f t="shared" si="16"/>
        <v>0.11954576351052364</v>
      </c>
      <c r="P36" s="14">
        <f t="shared" si="16"/>
        <v>7.3399863879533733E-2</v>
      </c>
      <c r="Q36" s="14">
        <f t="shared" si="16"/>
        <v>8.7013486735693479E-2</v>
      </c>
      <c r="R36" s="14">
        <f t="shared" si="16"/>
        <v>0.24033132335856947</v>
      </c>
      <c r="S36" s="14">
        <f t="shared" si="16"/>
        <v>0.2253262476848911</v>
      </c>
      <c r="T36" s="8">
        <f>T37/C36</f>
        <v>0.84851944682394076</v>
      </c>
      <c r="U36" s="9"/>
    </row>
    <row r="37" spans="1:22" ht="13.2" x14ac:dyDescent="0.3">
      <c r="A37" s="46"/>
      <c r="B37" s="48"/>
      <c r="C37" s="50"/>
      <c r="D37" s="11">
        <f>SUM('[5]PROJ. RECEITA $'!J715:J808)</f>
        <v>43272.46</v>
      </c>
      <c r="E37" s="11">
        <f>SUM('[5]PROJ. RECEITA $'!K715:K808)</f>
        <v>281270</v>
      </c>
      <c r="F37" s="11">
        <f>SUM('[5]PROJ. RECEITA $'!L715:L808)</f>
        <v>0</v>
      </c>
      <c r="G37" s="11">
        <f>SUM('[5]PROJ. RECEITA $'!M715:M808)</f>
        <v>36060.39</v>
      </c>
      <c r="H37" s="11">
        <f>SUM('[5]PROJ. RECEITA $'!N715:N808)</f>
        <v>229.61250000000001</v>
      </c>
      <c r="I37" s="11">
        <f>SUM('[5]PROJ. RECEITA $'!O715:O808)</f>
        <v>459.22500000000002</v>
      </c>
      <c r="J37" s="11">
        <f>SUM('[5]PROJ. RECEITA $'!P715:P808)</f>
        <v>459.22500000000002</v>
      </c>
      <c r="K37" s="11">
        <f>SUM('[5]PROJ. RECEITA $'!Q715:Q808)</f>
        <v>459.22500000000002</v>
      </c>
      <c r="L37" s="11">
        <f>SUM('[5]PROJ. RECEITA $'!R715:R808)</f>
        <v>57100.286104871142</v>
      </c>
      <c r="M37" s="11">
        <f>SUM('[5]PROJ. RECEITA $'!S715:S808)</f>
        <v>142991.77849447398</v>
      </c>
      <c r="N37" s="11">
        <f>SUM('[5]PROJ. RECEITA $'!T715:T808)</f>
        <v>43263.097081599808</v>
      </c>
      <c r="O37" s="11">
        <f>SUM('[5]PROJ. RECEITA $'!U715:U808)</f>
        <v>284581.36786190409</v>
      </c>
      <c r="P37" s="11">
        <f>SUM('[5]PROJ. RECEITA $'!V715:V808)</f>
        <v>174730.02012218093</v>
      </c>
      <c r="Q37" s="11">
        <f>SUM('[5]PROJ. RECEITA $'!W715:W808)</f>
        <v>207137.55427642114</v>
      </c>
      <c r="R37" s="11">
        <f>SUM('[5]PROJ. RECEITA $'!X715:X808)</f>
        <v>572114.09867671772</v>
      </c>
      <c r="S37" s="11">
        <f>SUM('[5]PROJ. RECEITA $'!Y715:Y808)</f>
        <v>536394.17992183124</v>
      </c>
      <c r="T37" s="12">
        <f>C36-SUMIFS(D37:S37,$D$1:$S$1,1)</f>
        <v>2019919.5499999993</v>
      </c>
      <c r="U37" s="13"/>
      <c r="V37" s="13"/>
    </row>
    <row r="38" spans="1:22" s="10" customFormat="1" ht="13.2" x14ac:dyDescent="0.3">
      <c r="A38" s="45"/>
      <c r="B38" s="47"/>
      <c r="C38" s="49"/>
      <c r="D38" s="14"/>
      <c r="E38" s="14"/>
      <c r="F38" s="14"/>
      <c r="G38" s="14"/>
      <c r="H38" s="14"/>
      <c r="I38" s="14"/>
      <c r="J38" s="14"/>
      <c r="K38" s="14"/>
      <c r="L38" s="14"/>
      <c r="M38" s="14"/>
      <c r="N38" s="14"/>
      <c r="O38" s="14"/>
      <c r="P38" s="14"/>
      <c r="Q38" s="14"/>
      <c r="R38" s="14"/>
      <c r="S38" s="36"/>
      <c r="T38" s="8"/>
      <c r="U38" s="13"/>
    </row>
    <row r="39" spans="1:22" ht="13.2" x14ac:dyDescent="0.3">
      <c r="A39" s="46"/>
      <c r="B39" s="48"/>
      <c r="C39" s="50"/>
      <c r="D39" s="11"/>
      <c r="E39" s="11"/>
      <c r="F39" s="11"/>
      <c r="G39" s="11"/>
      <c r="H39" s="11"/>
      <c r="I39" s="11"/>
      <c r="J39" s="11"/>
      <c r="K39" s="11"/>
      <c r="L39" s="11"/>
      <c r="M39" s="11"/>
      <c r="N39" s="11"/>
      <c r="O39" s="11"/>
      <c r="P39" s="11"/>
      <c r="Q39" s="11"/>
      <c r="R39" s="11"/>
      <c r="S39" s="35"/>
      <c r="T39" s="12">
        <f>C38-D39</f>
        <v>0</v>
      </c>
      <c r="U39" s="13"/>
    </row>
    <row r="40" spans="1:22" ht="13.2" x14ac:dyDescent="0.3">
      <c r="A40" s="51" t="s">
        <v>65</v>
      </c>
      <c r="B40" s="52"/>
      <c r="C40" s="15"/>
      <c r="D40" s="16">
        <f>D41/$C41</f>
        <v>1.4015510548730433E-2</v>
      </c>
      <c r="E40" s="16">
        <f t="shared" ref="E40:S40" si="17">E41/$C41</f>
        <v>2.5242709610995357E-2</v>
      </c>
      <c r="F40" s="16">
        <f t="shared" si="17"/>
        <v>1.815794724202182E-2</v>
      </c>
      <c r="G40" s="16">
        <f t="shared" si="17"/>
        <v>3.181211412339198E-2</v>
      </c>
      <c r="H40" s="16">
        <f t="shared" si="17"/>
        <v>2.3840752372820628E-2</v>
      </c>
      <c r="I40" s="16">
        <f t="shared" si="17"/>
        <v>2.4592998046849356E-2</v>
      </c>
      <c r="J40" s="16">
        <f t="shared" si="17"/>
        <v>7.2823241836952726E-2</v>
      </c>
      <c r="K40" s="16">
        <f t="shared" si="17"/>
        <v>6.6161027427415114E-2</v>
      </c>
      <c r="L40" s="16">
        <f t="shared" si="17"/>
        <v>7.0530253903948695E-2</v>
      </c>
      <c r="M40" s="16">
        <f t="shared" si="17"/>
        <v>7.1431165528380053E-2</v>
      </c>
      <c r="N40" s="16">
        <f t="shared" si="17"/>
        <v>7.2872525366192847E-2</v>
      </c>
      <c r="O40" s="16">
        <f t="shared" si="17"/>
        <v>0.11191976555792417</v>
      </c>
      <c r="P40" s="16">
        <f t="shared" si="17"/>
        <v>0.11971813531327216</v>
      </c>
      <c r="Q40" s="16">
        <f t="shared" si="17"/>
        <v>0.1003255162692001</v>
      </c>
      <c r="R40" s="16">
        <f t="shared" si="17"/>
        <v>9.6584342625436553E-2</v>
      </c>
      <c r="S40" s="16">
        <f t="shared" si="17"/>
        <v>7.9972016715225275E-2</v>
      </c>
      <c r="T40" s="17">
        <f>T41/$C41</f>
        <v>0.91077171847486049</v>
      </c>
      <c r="U40" s="9"/>
    </row>
    <row r="41" spans="1:22" ht="13.2" x14ac:dyDescent="0.3">
      <c r="A41" s="41" t="s">
        <v>66</v>
      </c>
      <c r="B41" s="42"/>
      <c r="C41" s="18">
        <f>SUM(C6:C39)</f>
        <v>31189837.919999998</v>
      </c>
      <c r="D41" s="19">
        <f>D39+D29+D27+D25+D23+D21+D19+D17+D15+D13+D11+D9+D7+D37+D35+D33+D31</f>
        <v>437141.50238095241</v>
      </c>
      <c r="E41" s="19">
        <f t="shared" ref="E41" si="18">E39+E29+E27+E25+E23+E21+E19+E17+E15+E13+E11+E9+E7+E37+E35+E33+E31</f>
        <v>787316.02142857143</v>
      </c>
      <c r="F41" s="19">
        <f t="shared" ref="F41:S41" si="19">F39+F29+F27+F25+F23+F21+F19+F17+F15+F13+F11+F9+F7+F37+F35+F33+F31</f>
        <v>566343.43143857154</v>
      </c>
      <c r="G41" s="19">
        <f t="shared" si="19"/>
        <v>992214.68340113875</v>
      </c>
      <c r="H41" s="19">
        <f t="shared" si="19"/>
        <v>743589.20239913079</v>
      </c>
      <c r="I41" s="19">
        <f t="shared" si="19"/>
        <v>767051.62304810795</v>
      </c>
      <c r="J41" s="19">
        <f t="shared" si="19"/>
        <v>2271345.1097035185</v>
      </c>
      <c r="K41" s="19">
        <f t="shared" si="19"/>
        <v>2063551.7220817518</v>
      </c>
      <c r="L41" s="19">
        <f t="shared" si="19"/>
        <v>2199827.187720607</v>
      </c>
      <c r="M41" s="19">
        <f t="shared" si="19"/>
        <v>2227926.475266865</v>
      </c>
      <c r="N41" s="19">
        <f t="shared" si="19"/>
        <v>2272882.2549926434</v>
      </c>
      <c r="O41" s="19">
        <f t="shared" si="19"/>
        <v>3490759.3477960532</v>
      </c>
      <c r="P41" s="19">
        <f t="shared" si="19"/>
        <v>3733989.2365055871</v>
      </c>
      <c r="Q41" s="19">
        <f t="shared" si="19"/>
        <v>3129136.5916766739</v>
      </c>
      <c r="R41" s="19">
        <f t="shared" si="19"/>
        <v>3012449.9920971133</v>
      </c>
      <c r="S41" s="19">
        <f t="shared" si="19"/>
        <v>2494314.2394834068</v>
      </c>
      <c r="T41" s="20">
        <f>T39+T29+T27+T25+T23+T21+T19+T17+T15+T13+T11+T9+T7+T37+T35+T33+T31</f>
        <v>28406822.281350765</v>
      </c>
      <c r="U41" s="13"/>
    </row>
    <row r="42" spans="1:22" ht="13.2" x14ac:dyDescent="0.3">
      <c r="A42" s="51" t="s">
        <v>67</v>
      </c>
      <c r="B42" s="52"/>
      <c r="C42" s="15"/>
      <c r="D42" s="21">
        <f>D40</f>
        <v>1.4015510548730433E-2</v>
      </c>
      <c r="E42" s="22">
        <f>E40+D42</f>
        <v>3.9258220159725792E-2</v>
      </c>
      <c r="F42" s="22">
        <f t="shared" ref="F42:S42" si="20">F40+E42</f>
        <v>5.7416167401747611E-2</v>
      </c>
      <c r="G42" s="22">
        <f t="shared" si="20"/>
        <v>8.9228281525139591E-2</v>
      </c>
      <c r="H42" s="22">
        <f t="shared" si="20"/>
        <v>0.11306903389796022</v>
      </c>
      <c r="I42" s="22">
        <f t="shared" si="20"/>
        <v>0.13766203194480958</v>
      </c>
      <c r="J42" s="22">
        <f t="shared" si="20"/>
        <v>0.21048527378176229</v>
      </c>
      <c r="K42" s="22">
        <f t="shared" si="20"/>
        <v>0.27664630120917744</v>
      </c>
      <c r="L42" s="22">
        <f t="shared" si="20"/>
        <v>0.34717655511312612</v>
      </c>
      <c r="M42" s="22">
        <f t="shared" si="20"/>
        <v>0.4186077206415062</v>
      </c>
      <c r="N42" s="22">
        <f t="shared" si="20"/>
        <v>0.49148024600769902</v>
      </c>
      <c r="O42" s="22">
        <f t="shared" si="20"/>
        <v>0.60340001156562317</v>
      </c>
      <c r="P42" s="22">
        <f t="shared" si="20"/>
        <v>0.72311814687889531</v>
      </c>
      <c r="Q42" s="22">
        <f t="shared" si="20"/>
        <v>0.82344366314809536</v>
      </c>
      <c r="R42" s="22">
        <f t="shared" si="20"/>
        <v>0.92002800577353194</v>
      </c>
      <c r="S42" s="22">
        <f t="shared" si="20"/>
        <v>1.0000000224887573</v>
      </c>
      <c r="T42" s="23">
        <f>T40+G42</f>
        <v>1</v>
      </c>
      <c r="U42" s="13"/>
    </row>
    <row r="43" spans="1:22" ht="13.8" x14ac:dyDescent="0.3">
      <c r="A43" s="41" t="s">
        <v>68</v>
      </c>
      <c r="B43" s="42"/>
      <c r="C43" s="18"/>
      <c r="D43" s="19">
        <f>D41</f>
        <v>437141.50238095241</v>
      </c>
      <c r="E43" s="24">
        <f>E41+D43</f>
        <v>1224457.5238095238</v>
      </c>
      <c r="F43" s="24">
        <f t="shared" ref="F43:S43" si="21">F41+E43</f>
        <v>1790800.9552480953</v>
      </c>
      <c r="G43" s="24">
        <f t="shared" si="21"/>
        <v>2783015.6386492341</v>
      </c>
      <c r="H43" s="24">
        <f t="shared" si="21"/>
        <v>3526604.841048365</v>
      </c>
      <c r="I43" s="24">
        <f t="shared" si="21"/>
        <v>4293656.4640964726</v>
      </c>
      <c r="J43" s="24">
        <f t="shared" si="21"/>
        <v>6565001.573799991</v>
      </c>
      <c r="K43" s="24">
        <f t="shared" si="21"/>
        <v>8628553.2958817426</v>
      </c>
      <c r="L43" s="24">
        <f t="shared" si="21"/>
        <v>10828380.483602349</v>
      </c>
      <c r="M43" s="24">
        <f t="shared" si="21"/>
        <v>13056306.958869213</v>
      </c>
      <c r="N43" s="24">
        <f t="shared" si="21"/>
        <v>15329189.213861857</v>
      </c>
      <c r="O43" s="24">
        <f t="shared" si="21"/>
        <v>18819948.561657909</v>
      </c>
      <c r="P43" s="24">
        <f t="shared" si="21"/>
        <v>22553937.798163496</v>
      </c>
      <c r="Q43" s="24">
        <f t="shared" si="21"/>
        <v>25683074.389840171</v>
      </c>
      <c r="R43" s="24">
        <f t="shared" si="21"/>
        <v>28695524.381937284</v>
      </c>
      <c r="S43" s="24">
        <f t="shared" si="21"/>
        <v>31189838.621420689</v>
      </c>
      <c r="T43" s="25">
        <f>T41+G43+0.7</f>
        <v>31189838.619999997</v>
      </c>
      <c r="U43" s="13"/>
    </row>
    <row r="44" spans="1:22" ht="13.2" x14ac:dyDescent="0.3">
      <c r="A44" s="26"/>
      <c r="B44" s="27"/>
      <c r="C44" s="28"/>
      <c r="D44" s="26"/>
      <c r="E44" s="26"/>
      <c r="F44" s="26"/>
      <c r="G44" s="26"/>
      <c r="T44" s="29"/>
    </row>
    <row r="45" spans="1:22" ht="13.2" x14ac:dyDescent="0.3">
      <c r="A45" s="30"/>
      <c r="B45" s="31"/>
      <c r="C45" s="32"/>
      <c r="D45" s="30"/>
      <c r="E45" s="30"/>
      <c r="F45" s="30"/>
      <c r="G45" s="30"/>
    </row>
  </sheetData>
  <autoFilter ref="D3:T43" xr:uid="{D79058C7-F350-4BC6-8A82-FAEC112D3B68}"/>
  <mergeCells count="60">
    <mergeCell ref="A1:C2"/>
    <mergeCell ref="D2:E2"/>
    <mergeCell ref="F2:G2"/>
    <mergeCell ref="A3:C4"/>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18:A19"/>
    <mergeCell ref="B18:B19"/>
    <mergeCell ref="C18:C19"/>
    <mergeCell ref="A20:A21"/>
    <mergeCell ref="B20:B21"/>
    <mergeCell ref="C20:C21"/>
    <mergeCell ref="A22:A23"/>
    <mergeCell ref="B22:B23"/>
    <mergeCell ref="C22:C23"/>
    <mergeCell ref="A24:A25"/>
    <mergeCell ref="B24:B25"/>
    <mergeCell ref="C24:C25"/>
    <mergeCell ref="C30:C31"/>
    <mergeCell ref="A32:A33"/>
    <mergeCell ref="B32:B33"/>
    <mergeCell ref="C32:C33"/>
    <mergeCell ref="A26:A27"/>
    <mergeCell ref="B26:B27"/>
    <mergeCell ref="C26:C27"/>
    <mergeCell ref="A28:A29"/>
    <mergeCell ref="B28:B29"/>
    <mergeCell ref="C28:C29"/>
    <mergeCell ref="A43:B43"/>
    <mergeCell ref="D5:S5"/>
    <mergeCell ref="A38:A39"/>
    <mergeCell ref="B38:B39"/>
    <mergeCell ref="C38:C39"/>
    <mergeCell ref="A40:B40"/>
    <mergeCell ref="A41:B41"/>
    <mergeCell ref="A42:B42"/>
    <mergeCell ref="A34:A35"/>
    <mergeCell ref="B34:B35"/>
    <mergeCell ref="C34:C35"/>
    <mergeCell ref="A36:A37"/>
    <mergeCell ref="B36:B37"/>
    <mergeCell ref="C36:C37"/>
    <mergeCell ref="A30:A31"/>
    <mergeCell ref="B30:B31"/>
  </mergeCells>
  <phoneticPr fontId="7" type="noConversion"/>
  <conditionalFormatting sqref="D6:S6">
    <cfRule type="cellIs" dxfId="32" priority="59" operator="between">
      <formula>-100</formula>
      <formula>0</formula>
    </cfRule>
  </conditionalFormatting>
  <conditionalFormatting sqref="D8:S8">
    <cfRule type="cellIs" dxfId="31" priority="55" operator="between">
      <formula>-100</formula>
      <formula>0</formula>
    </cfRule>
  </conditionalFormatting>
  <conditionalFormatting sqref="D10:S10">
    <cfRule type="cellIs" dxfId="30" priority="62" operator="between">
      <formula>-100</formula>
      <formula>0</formula>
    </cfRule>
  </conditionalFormatting>
  <conditionalFormatting sqref="D12:S12">
    <cfRule type="cellIs" dxfId="29" priority="52" operator="between">
      <formula>-100</formula>
      <formula>0</formula>
    </cfRule>
  </conditionalFormatting>
  <conditionalFormatting sqref="D14:S14">
    <cfRule type="cellIs" dxfId="28" priority="49" operator="between">
      <formula>-100</formula>
      <formula>0</formula>
    </cfRule>
  </conditionalFormatting>
  <conditionalFormatting sqref="D16:S16">
    <cfRule type="cellIs" dxfId="27" priority="46" operator="between">
      <formula>-100</formula>
      <formula>0</formula>
    </cfRule>
  </conditionalFormatting>
  <conditionalFormatting sqref="D18:S18">
    <cfRule type="cellIs" dxfId="26" priority="43" operator="between">
      <formula>-100</formula>
      <formula>0</formula>
    </cfRule>
  </conditionalFormatting>
  <conditionalFormatting sqref="D20:S20">
    <cfRule type="cellIs" dxfId="25" priority="40" operator="between">
      <formula>-100</formula>
      <formula>0</formula>
    </cfRule>
  </conditionalFormatting>
  <conditionalFormatting sqref="D22:S22">
    <cfRule type="cellIs" dxfId="24" priority="37" operator="between">
      <formula>-100</formula>
      <formula>0</formula>
    </cfRule>
  </conditionalFormatting>
  <conditionalFormatting sqref="D24:S24">
    <cfRule type="cellIs" dxfId="23" priority="34" operator="between">
      <formula>-100</formula>
      <formula>0</formula>
    </cfRule>
  </conditionalFormatting>
  <conditionalFormatting sqref="D28:S28">
    <cfRule type="cellIs" dxfId="22" priority="13" operator="between">
      <formula>-100</formula>
      <formula>0</formula>
    </cfRule>
  </conditionalFormatting>
  <conditionalFormatting sqref="D30:S30">
    <cfRule type="cellIs" dxfId="21" priority="10" operator="between">
      <formula>-100</formula>
      <formula>0</formula>
    </cfRule>
  </conditionalFormatting>
  <conditionalFormatting sqref="D32:S32">
    <cfRule type="cellIs" dxfId="20" priority="1" operator="between">
      <formula>-100</formula>
      <formula>0</formula>
    </cfRule>
  </conditionalFormatting>
  <conditionalFormatting sqref="D34:S34">
    <cfRule type="cellIs" dxfId="19" priority="7" operator="between">
      <formula>-100</formula>
      <formula>0</formula>
    </cfRule>
  </conditionalFormatting>
  <conditionalFormatting sqref="D36:S36">
    <cfRule type="cellIs" dxfId="18" priority="4" operator="between">
      <formula>-100</formula>
      <formula>0</formula>
    </cfRule>
  </conditionalFormatting>
  <conditionalFormatting sqref="D6:T6">
    <cfRule type="cellIs" dxfId="17" priority="60" operator="greaterThan">
      <formula>0</formula>
    </cfRule>
  </conditionalFormatting>
  <conditionalFormatting sqref="D8:T8">
    <cfRule type="cellIs" dxfId="16" priority="56" operator="greaterThan">
      <formula>0</formula>
    </cfRule>
  </conditionalFormatting>
  <conditionalFormatting sqref="D10:T10">
    <cfRule type="cellIs" dxfId="15" priority="63" operator="greaterThan">
      <formula>0</formula>
    </cfRule>
  </conditionalFormatting>
  <conditionalFormatting sqref="D12:T12">
    <cfRule type="cellIs" dxfId="14" priority="53" operator="greaterThan">
      <formula>0</formula>
    </cfRule>
  </conditionalFormatting>
  <conditionalFormatting sqref="D14:T14">
    <cfRule type="cellIs" dxfId="13" priority="50" operator="greaterThan">
      <formula>0</formula>
    </cfRule>
  </conditionalFormatting>
  <conditionalFormatting sqref="D16:T16">
    <cfRule type="cellIs" dxfId="12" priority="47" operator="greaterThan">
      <formula>0</formula>
    </cfRule>
  </conditionalFormatting>
  <conditionalFormatting sqref="D18:T18">
    <cfRule type="cellIs" dxfId="11" priority="44" operator="greaterThan">
      <formula>0</formula>
    </cfRule>
  </conditionalFormatting>
  <conditionalFormatting sqref="D20:T20">
    <cfRule type="cellIs" dxfId="10" priority="41" operator="greaterThan">
      <formula>0</formula>
    </cfRule>
  </conditionalFormatting>
  <conditionalFormatting sqref="D22:T22">
    <cfRule type="cellIs" dxfId="9" priority="38" operator="greaterThan">
      <formula>0</formula>
    </cfRule>
  </conditionalFormatting>
  <conditionalFormatting sqref="D24:T24">
    <cfRule type="cellIs" dxfId="8" priority="35" operator="greaterThan">
      <formula>0</formula>
    </cfRule>
  </conditionalFormatting>
  <conditionalFormatting sqref="D26:T26">
    <cfRule type="cellIs" dxfId="7" priority="31" operator="between">
      <formula>-100</formula>
      <formula>0</formula>
    </cfRule>
    <cfRule type="cellIs" dxfId="6" priority="32" operator="greaterThan">
      <formula>0</formula>
    </cfRule>
  </conditionalFormatting>
  <conditionalFormatting sqref="D28:T28">
    <cfRule type="cellIs" dxfId="5" priority="14" operator="greaterThan">
      <formula>0</formula>
    </cfRule>
  </conditionalFormatting>
  <conditionalFormatting sqref="D30:T30">
    <cfRule type="cellIs" dxfId="4" priority="11" operator="greaterThan">
      <formula>0</formula>
    </cfRule>
  </conditionalFormatting>
  <conditionalFormatting sqref="D32:T32">
    <cfRule type="cellIs" dxfId="3" priority="2" operator="greaterThan">
      <formula>0</formula>
    </cfRule>
  </conditionalFormatting>
  <conditionalFormatting sqref="D34:T34">
    <cfRule type="cellIs" dxfId="2" priority="8" operator="greaterThan">
      <formula>0</formula>
    </cfRule>
  </conditionalFormatting>
  <conditionalFormatting sqref="D36:T36">
    <cfRule type="cellIs" dxfId="1" priority="5" operator="greaterThan">
      <formula>0</formula>
    </cfRule>
  </conditionalFormatting>
  <conditionalFormatting sqref="D38:T38">
    <cfRule type="cellIs" dxfId="0" priority="64" operator="greaterThan">
      <formula>0</formula>
    </cfRule>
  </conditionalFormatting>
  <printOptions horizontalCentered="1"/>
  <pageMargins left="0.23622047244094491" right="0.23622047244094491" top="0.74803149606299213" bottom="0.74803149606299213" header="0.31496062992125984" footer="0.31496062992125984"/>
  <pageSetup paperSize="9" scale="73" fitToHeight="0" orientation="portrait" horizontalDpi="4294967295" verticalDpi="4294967295" r:id="rId1"/>
  <ignoredErrors>
    <ignoredError sqref="T36 T38:T42 T34 T32 T30 T28 T26 T24 T22 T20 T18 T16 T14 T12 T10 T8 T7 T9 T11 T13 T15 T17 T19 T21 T23 T25 T27 T29 T31 T33 T35"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A96618C08C5E440B1ABC8F9E56B60B3" ma:contentTypeVersion="15" ma:contentTypeDescription="Crie um novo documento." ma:contentTypeScope="" ma:versionID="632b8ba9fc47d8a0988d604f6464480f">
  <xsd:schema xmlns:xsd="http://www.w3.org/2001/XMLSchema" xmlns:xs="http://www.w3.org/2001/XMLSchema" xmlns:p="http://schemas.microsoft.com/office/2006/metadata/properties" xmlns:ns1="http://schemas.microsoft.com/sharepoint/v3" xmlns:ns2="414c274e-99ce-48ed-af58-395e58041164" xmlns:ns3="8d55533a-b699-46c7-bc49-e3db65ffe96c" targetNamespace="http://schemas.microsoft.com/office/2006/metadata/properties" ma:root="true" ma:fieldsID="2a9e08dc49018a0b9ce6313eeb63a46f" ns1:_="" ns2:_="" ns3:_="">
    <xsd:import namespace="http://schemas.microsoft.com/sharepoint/v3"/>
    <xsd:import namespace="414c274e-99ce-48ed-af58-395e58041164"/>
    <xsd:import namespace="8d55533a-b699-46c7-bc49-e3db65ffe9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riedades da Política de Conformidade Unificada" ma:hidden="true" ma:internalName="_ip_UnifiedCompliancePolicyProperties">
      <xsd:simpleType>
        <xsd:restriction base="dms:Note"/>
      </xsd:simpleType>
    </xsd:element>
    <xsd:element name="_ip_UnifiedCompliancePolicyUIAction" ma:index="22"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4c274e-99ce-48ed-af58-395e580411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dcc8a6e0-6c32-48fa-b7ba-4a53e434a2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55533a-b699-46c7-bc49-e3db65ffe9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9b8ba4-5bd3-49b3-8f10-c09235480152}" ma:internalName="TaxCatchAll" ma:showField="CatchAllData" ma:web="8d55533a-b699-46c7-bc49-e3db65ffe9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d55533a-b699-46c7-bc49-e3db65ffe96c" xsi:nil="true"/>
    <lcf76f155ced4ddcb4097134ff3c332f xmlns="414c274e-99ce-48ed-af58-395e5804116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3E0FDBB-EC57-4B7B-B031-E354D565F6F6}"/>
</file>

<file path=customXml/itemProps2.xml><?xml version="1.0" encoding="utf-8"?>
<ds:datastoreItem xmlns:ds="http://schemas.openxmlformats.org/officeDocument/2006/customXml" ds:itemID="{8535FEB2-4068-4056-9D9F-4EB57E21EEB6}"/>
</file>

<file path=customXml/itemProps3.xml><?xml version="1.0" encoding="utf-8"?>
<ds:datastoreItem xmlns:ds="http://schemas.openxmlformats.org/officeDocument/2006/customXml" ds:itemID="{888CA58D-61D4-43C7-9E28-B2FBEF0FEE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CRON FF</vt:lpstr>
      <vt:lpstr>'CRON FF'!Area_de_impressao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Ribeiro Brito</dc:creator>
  <cp:lastModifiedBy>Daniel Ribeiro Brito</cp:lastModifiedBy>
  <dcterms:created xsi:type="dcterms:W3CDTF">2026-01-21T13:33:59Z</dcterms:created>
  <dcterms:modified xsi:type="dcterms:W3CDTF">2026-01-23T17:33:41Z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0x0101002A96618C08C5E440B1ABC8F9E56B60B3</vt:lpwstr>
  </property>
</Properties>
</file>